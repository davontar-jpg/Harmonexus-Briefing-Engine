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chine_Input" sheetId="2" r:id="rId6"/>
    <sheet state="visible" name="Asset_Config" sheetId="3" r:id="rId7"/>
    <sheet state="visible" name="Seasonality" sheetId="4" r:id="rId8"/>
    <sheet state="visible" name="Timing" sheetId="5" r:id="rId9"/>
    <sheet state="visible" name="Structure" sheetId="6" r:id="rId10"/>
    <sheet state="visible" name="Data_Log" sheetId="7" r:id="rId11"/>
    <sheet state="visible" name="Lists" sheetId="8" r:id="rId12"/>
    <sheet state="visible" name="Instructions" sheetId="9" r:id="rId13"/>
    <sheet state="visible" name="Live_Inputs" sheetId="10" r:id="rId14"/>
    <sheet state="visible" name="Source_Map" sheetId="11" r:id="rId15"/>
    <sheet state="visible" name="FRED_Raw" sheetId="12" r:id="rId16"/>
    <sheet state="visible" name="CFTC_Raw" sheetId="13" r:id="rId17"/>
    <sheet state="visible" name="Webhook_Log" sheetId="14" r:id="rId18"/>
    <sheet state="visible" name="AppsScript_Code" sheetId="15" r:id="rId19"/>
    <sheet state="visible" name="Script_Setup" sheetId="16" r:id="rId20"/>
    <sheet state="visible" name="TradingView_Webhooks" sheetId="17" r:id="rId21"/>
    <sheet state="visible" name="Signal_Engine" sheetId="18" r:id="rId22"/>
    <sheet state="visible" name="Timing_Calibration" sheetId="19" r:id="rId23"/>
    <sheet state="visible" name="Calendar_Alerts" sheetId="20" r:id="rId24"/>
    <sheet state="visible" name="Calibration_Data_Coverage" sheetId="21" r:id="rId25"/>
    <sheet state="visible" name="Lead_Lag" sheetId="22" r:id="rId26"/>
    <sheet state="visible" name="Gap_Behavior" sheetId="23" r:id="rId27"/>
    <sheet state="visible" name="Expansion_Profile" sheetId="24" r:id="rId28"/>
    <sheet state="visible" name="Sequence_Stats" sheetId="25" r:id="rId29"/>
    <sheet state="visible" name="Machine_Update_Block" sheetId="26" r:id="rId30"/>
    <sheet state="visible" name="Briefing" sheetId="27" r:id="rId31"/>
    <sheet state="visible" name="Health_Check" sheetId="28" r:id="rId32"/>
    <sheet state="visible" name="Alert_Rules" sheetId="29" r:id="rId33"/>
    <sheet state="visible" name="Notification_Log" sheetId="30" r:id="rId34"/>
    <sheet state="visible" name="AI_Control" sheetId="31" r:id="rId35"/>
    <sheet state="visible" name="AI_Prompt_Builder" sheetId="32" r:id="rId36"/>
    <sheet state="visible" name="Economic_Calendar" sheetId="33" r:id="rId37"/>
    <sheet state="visible" name="App_Roadmap" sheetId="34" r:id="rId38"/>
  </sheets>
  <definedNames/>
  <calcPr/>
</workbook>
</file>

<file path=xl/sharedStrings.xml><?xml version="1.0" encoding="utf-8"?>
<sst xmlns="http://schemas.openxmlformats.org/spreadsheetml/2006/main" count="2444" uniqueCount="1160">
  <si>
    <t>MARKET MACHINE DASHBOARD v4.6 — FINAL CALIBRATED LIVING ENGINE</t>
  </si>
  <si>
    <t>LIVE PIPE STATUS</t>
  </si>
  <si>
    <t>Live evidence engine + calibrated hourly timing/seasonality: FRED + CFTC/TFF + TradingView → Signal Engine → Machine score → calendar timing → final read</t>
  </si>
  <si>
    <t>Pipe</t>
  </si>
  <si>
    <t>Source</t>
  </si>
  <si>
    <t>Status</t>
  </si>
  <si>
    <t>Latest Value</t>
  </si>
  <si>
    <t>Last Update</t>
  </si>
  <si>
    <t>Mode</t>
  </si>
  <si>
    <t>Notes</t>
  </si>
  <si>
    <t>Action</t>
  </si>
  <si>
    <t>DXY / Price Structure</t>
  </si>
  <si>
    <t>TradingView Webhook</t>
  </si>
  <si>
    <t>Live / Manual</t>
  </si>
  <si>
    <t>Webhook alert updates this row when configured.</t>
  </si>
  <si>
    <t>TradingView alert → Apps Script</t>
  </si>
  <si>
    <t>Selected Asset</t>
  </si>
  <si>
    <t>XAGUSD</t>
  </si>
  <si>
    <t>Real Yields</t>
  </si>
  <si>
    <t>FRED DFII10</t>
  </si>
  <si>
    <t>Auto</t>
  </si>
  <si>
    <t>FRED 10-year TIPS real yield.</t>
  </si>
  <si>
    <t>Run refreshFRED()</t>
  </si>
  <si>
    <t>Managed Money</t>
  </si>
  <si>
    <t>CFTC COT</t>
  </si>
  <si>
    <t>Weekly Auto / Manual</t>
  </si>
  <si>
    <t>CFTC updates weekly after Friday release.</t>
  </si>
  <si>
    <t>Run refreshCFTC()</t>
  </si>
  <si>
    <t>MACHINE SCORE</t>
  </si>
  <si>
    <t>Open Interest</t>
  </si>
  <si>
    <t>CFTC / Exchange / Manual</t>
  </si>
  <si>
    <t>OI from CFTC report or exchange feed.</t>
  </si>
  <si>
    <t>Variable</t>
  </si>
  <si>
    <t>Weight</t>
  </si>
  <si>
    <t>Bullish</t>
  </si>
  <si>
    <t>Bearish</t>
  </si>
  <si>
    <t>Neutral</t>
  </si>
  <si>
    <t>Machine Impact</t>
  </si>
  <si>
    <t>DXY</t>
  </si>
  <si>
    <t>Dollar pressure / relief</t>
  </si>
  <si>
    <t>Auto from Signal_Engine</t>
  </si>
  <si>
    <t>V4.6 CALIBRATION NOTE</t>
  </si>
  <si>
    <t>Discount-rate pressure</t>
  </si>
  <si>
    <t>Timing and seasonality layers now use uploaded hourly datasets for XAGUSD, US30, SPX500, NAS100, plus cross-checks from SI, DJI, VIX, GOLD, and NDX.</t>
  </si>
  <si>
    <t>Institutional positioning</t>
  </si>
  <si>
    <t>CFTC script now stages asset-coded proxy rows so Signal_Engine can read XAGUSD/US30/SPX500/NAS100 consistently after refreshCFTC().</t>
  </si>
  <si>
    <t>Participation / conviction</t>
  </si>
  <si>
    <t>Next calibration step: run refreshFRED(), refreshCFTC(), then verify Signal_Engine rows update and Dashboard timing layer changes with selected asset.</t>
  </si>
  <si>
    <t>Living machine-ready after scripts are installed and refreshed.</t>
  </si>
  <si>
    <t>Bullish Count</t>
  </si>
  <si>
    <t>Bearish Count</t>
  </si>
  <si>
    <t>Neutral Count</t>
  </si>
  <si>
    <t>FINAL WEIGHTED MACHINE</t>
  </si>
  <si>
    <t>Bullish %</t>
  </si>
  <si>
    <t>Bearish %</t>
  </si>
  <si>
    <t>Neutral %</t>
  </si>
  <si>
    <t>Bullish Points</t>
  </si>
  <si>
    <t>Bearish Points</t>
  </si>
  <si>
    <t>Machine Bias</t>
  </si>
  <si>
    <t>Evidence Text</t>
  </si>
  <si>
    <t>Interpretation</t>
  </si>
  <si>
    <t>Neutral Points</t>
  </si>
  <si>
    <t>Conviction</t>
  </si>
  <si>
    <t>Machine Reading</t>
  </si>
  <si>
    <t>SEASONAL LAYER</t>
  </si>
  <si>
    <t>Score Notes</t>
  </si>
  <si>
    <t>Current Month</t>
  </si>
  <si>
    <t>Seasonal Bias</t>
  </si>
  <si>
    <t>Strength</t>
  </si>
  <si>
    <t>Calendar Note</t>
  </si>
  <si>
    <t>Conflict / Confirmation</t>
  </si>
  <si>
    <t>Update Sheet</t>
  </si>
  <si>
    <t>Seasonality</t>
  </si>
  <si>
    <t>TIMING LAYER</t>
  </si>
  <si>
    <t>Machine State Used</t>
  </si>
  <si>
    <t>Weekly High Window</t>
  </si>
  <si>
    <t>Weekly Low Window</t>
  </si>
  <si>
    <t>Primary Hour</t>
  </si>
  <si>
    <t>Timing Note</t>
  </si>
  <si>
    <t>Confidence</t>
  </si>
  <si>
    <t>Timing</t>
  </si>
  <si>
    <t>STRUCTURE LAYER</t>
  </si>
  <si>
    <t>Current Price</t>
  </si>
  <si>
    <t>Key Level</t>
  </si>
  <si>
    <t>Structure Status</t>
  </si>
  <si>
    <t>Acceptance</t>
  </si>
  <si>
    <t>Structure Score</t>
  </si>
  <si>
    <t>Note</t>
  </si>
  <si>
    <t>Last Updated</t>
  </si>
  <si>
    <t>Structure</t>
  </si>
  <si>
    <t>SIGNAL ENGINE SNAPSHOT</t>
  </si>
  <si>
    <t>Asset</t>
  </si>
  <si>
    <t>Commercial Δ</t>
  </si>
  <si>
    <t>Noncommercial Δ</t>
  </si>
  <si>
    <t>OI Δ</t>
  </si>
  <si>
    <t>Real Yield Δ</t>
  </si>
  <si>
    <t>DXY Signal</t>
  </si>
  <si>
    <t>Next Check</t>
  </si>
  <si>
    <t>Date</t>
  </si>
  <si>
    <t>DXY Status</t>
  </si>
  <si>
    <t>Real Yields Status</t>
  </si>
  <si>
    <t>Managed Money / Positioning</t>
  </si>
  <si>
    <t>DXY Weight</t>
  </si>
  <si>
    <t>Real Yield Weight</t>
  </si>
  <si>
    <t>Managed Money Weight</t>
  </si>
  <si>
    <t>OI Weight</t>
  </si>
  <si>
    <t>Final Bullish %</t>
  </si>
  <si>
    <t>Final Bearish %</t>
  </si>
  <si>
    <t>Final Neutral %</t>
  </si>
  <si>
    <t>Data Mode</t>
  </si>
  <si>
    <t>DXY Live Status</t>
  </si>
  <si>
    <t>Real Yield Live Status</t>
  </si>
  <si>
    <t>MM Live Status</t>
  </si>
  <si>
    <t>OI Live Status</t>
  </si>
  <si>
    <t>Live Freshness</t>
  </si>
  <si>
    <t>Live Override?</t>
  </si>
  <si>
    <t>Yes</t>
  </si>
  <si>
    <t>US30</t>
  </si>
  <si>
    <t>SPX500</t>
  </si>
  <si>
    <t>NAS100</t>
  </si>
  <si>
    <t>Custom</t>
  </si>
  <si>
    <t>Asset Name</t>
  </si>
  <si>
    <t>Primary Market</t>
  </si>
  <si>
    <t>Machine Logic</t>
  </si>
  <si>
    <t>Seasonal Notes</t>
  </si>
  <si>
    <t>Timing Notes</t>
  </si>
  <si>
    <t>Default Key Level</t>
  </si>
  <si>
    <t>Priority</t>
  </si>
  <si>
    <t>Spot Silver</t>
  </si>
  <si>
    <t>Silver / Precious Metals</t>
  </si>
  <si>
    <t>DXY + real yields + CFTC silver noncommercial/commercial + OI + calibrated timing.</t>
  </si>
  <si>
    <t>Seasonality now calibrated from XAGUSD hourly/monthly data; see Seasonality tab.</t>
  </si>
  <si>
    <t>Bearish: high tends Monday/Sun–Tue; Bullish: low tends Sunday/Sun–Tue; primary decision hour 09:00 ET.</t>
  </si>
  <si>
    <t>Manual</t>
  </si>
  <si>
    <t>Uses XAGUSD spot timing + CFTC Silver proxy. SI futures correlation retained in Lead_Lag.</t>
  </si>
  <si>
    <t>Primary</t>
  </si>
  <si>
    <t>Dow Jones / US30</t>
  </si>
  <si>
    <t>US equity index</t>
  </si>
  <si>
    <t>DXY + real yields + TFF/legacy equity positioning proxy + OI + calibrated timing.</t>
  </si>
  <si>
    <t>Seasonality now calibrated from US30_CFD hourly/monthly data.</t>
  </si>
  <si>
    <t>Bearish: high tends Monday / low tends Friday; primary hour 09:00 ET. Bullish: low Monday; high Friday.</t>
  </si>
  <si>
    <t>Uses US30_CFD timing and TFF/legacy Dow proxy when CFTC pull is available.</t>
  </si>
  <si>
    <t>S&amp;P 500 CFD / Index</t>
  </si>
  <si>
    <t>DXY + real yields + TFF S&amp;P proxy + OI + calibrated timing.</t>
  </si>
  <si>
    <t>Seasonality now calibrated from SPX hourly/monthly data.</t>
  </si>
  <si>
    <t>Bearish: high Monday / low Friday; bullish: low Monday / high Friday; 09:00 ET dominant.</t>
  </si>
  <si>
    <t>Uses SPX timing and CFTC/TFF S&amp;P proxy. Treat as proxy layer for US30 risk.</t>
  </si>
  <si>
    <t>Optional</t>
  </si>
  <si>
    <t>Nasdaq / US100</t>
  </si>
  <si>
    <t>US growth index</t>
  </si>
  <si>
    <t>Real yields + DXY + TFF Nasdaq proxy + OI + calibrated timing.</t>
  </si>
  <si>
    <t>Seasonality now calibrated from NDX hourly/monthly data.</t>
  </si>
  <si>
    <t>Uses NDX timing and CFTC/TFF Nasdaq proxy; real yields weighted carefully.</t>
  </si>
  <si>
    <t>Custom Instrument</t>
  </si>
  <si>
    <t>User defined</t>
  </si>
  <si>
    <t>Define rules manually or import a new asset calibration block.</t>
  </si>
  <si>
    <t>Define manually</t>
  </si>
  <si>
    <t>Use dropdowns and manual scoring until calibrated.</t>
  </si>
  <si>
    <t>Month</t>
  </si>
  <si>
    <t>Avg Return</t>
  </si>
  <si>
    <t>Rank</t>
  </si>
  <si>
    <t>Use in Final Read</t>
  </si>
  <si>
    <t>January</t>
  </si>
  <si>
    <t>Strong</t>
  </si>
  <si>
    <t>Samples 4 | Win 50.0% | Avg range 24.2%</t>
  </si>
  <si>
    <t>Hourly/monthly calibration dataset</t>
  </si>
  <si>
    <t>2026-06-09</t>
  </si>
  <si>
    <t>February</t>
  </si>
  <si>
    <t>Weak</t>
  </si>
  <si>
    <t>Samples 4 | Win 25.0% | Avg range 17.2%</t>
  </si>
  <si>
    <t>March</t>
  </si>
  <si>
    <t>Samples 4 | Win 75.0% | Avg range 21.2%</t>
  </si>
  <si>
    <t>April</t>
  </si>
  <si>
    <t>Moderate</t>
  </si>
  <si>
    <t>Samples 4 | Win 75.0% | Avg range 16.8%</t>
  </si>
  <si>
    <t>May</t>
  </si>
  <si>
    <t>Samples 4 | Win 75.0% | Avg range 17.2%</t>
  </si>
  <si>
    <t>June</t>
  </si>
  <si>
    <t>Samples 4 | Win 25.0% | Avg range 11.7%</t>
  </si>
  <si>
    <t>July</t>
  </si>
  <si>
    <t>Samples 3 | Win 66.7% | Avg range 12.5%</t>
  </si>
  <si>
    <t>August</t>
  </si>
  <si>
    <t>Samples 3 | Win 33.3% | Avg range 12.0%</t>
  </si>
  <si>
    <t>September</t>
  </si>
  <si>
    <t>Samples 3 | Win 66.7% | Avg range 15.6%</t>
  </si>
  <si>
    <t>October</t>
  </si>
  <si>
    <t>Samples 3 | Win 100.0% | Avg range 15.9%</t>
  </si>
  <si>
    <t>November</t>
  </si>
  <si>
    <t>Samples 3 | Win 66.7% | Avg range 16.4%</t>
  </si>
  <si>
    <t>December</t>
  </si>
  <si>
    <t>Samples 3 | Win 33.3% | Avg range 24.5%</t>
  </si>
  <si>
    <t>Samples 4 | Win 100.0% | Avg range 5.1%</t>
  </si>
  <si>
    <t>Samples 4 | Win 50.0% | Avg range 4.5%</t>
  </si>
  <si>
    <t>Samples 4 | Win 50.0% | Avg range 6.8%</t>
  </si>
  <si>
    <t>Samples 4 | Win 50.0% | Avg range 8.2%</t>
  </si>
  <si>
    <t>Samples 4 | Win 75.0% | Avg range 5.3%</t>
  </si>
  <si>
    <t>Samples 4 | Win 75.0% | Avg range 4.3%</t>
  </si>
  <si>
    <t>Samples 3 | Win 100.0% | Avg range 5.1%</t>
  </si>
  <si>
    <t>Samples 3 | Win 66.7% | Avg range 6.0%</t>
  </si>
  <si>
    <t>Samples 3 | Win 66.7% | Avg range 5.1%</t>
  </si>
  <si>
    <t>Samples 3 | Win 33.3% | Avg range 5.2%</t>
  </si>
  <si>
    <t>Samples 3 | Win 66.7% | Avg range 7.8%</t>
  </si>
  <si>
    <t>Samples 3 | Win 66.7% | Avg range 5.2%</t>
  </si>
  <si>
    <t>Samples 12 | Win 58.3% | Avg range 6.6%</t>
  </si>
  <si>
    <t>Samples 12 | Win 50.0% | Avg range 7.3%</t>
  </si>
  <si>
    <t>Samples 12 | Win 50.0% | Avg range 8.8%</t>
  </si>
  <si>
    <t>Samples 12 | Win 75.0% | Avg range 7.7%</t>
  </si>
  <si>
    <t>Samples 12 | Win 83.3% | Avg range 6.1%</t>
  </si>
  <si>
    <t>Samples 12 | Win 66.7% | Avg range 5.9%</t>
  </si>
  <si>
    <t>Samples 11 | Win 100.0% | Avg range 5.1%</t>
  </si>
  <si>
    <t>Samples 11 | Win 45.5% | Avg range 6.1%</t>
  </si>
  <si>
    <t>Samples 11 | Win 45.5% | Avg range 6.3%</t>
  </si>
  <si>
    <t>Samples 11 | Win 54.5% | Avg range 7.1%</t>
  </si>
  <si>
    <t>Samples 11 | Win 72.7% | Avg range 6.4%</t>
  </si>
  <si>
    <t>Samples 11 | Win 63.6% | Avg range 6.0%</t>
  </si>
  <si>
    <t>Samples 12 | Win 66.7% | Avg range 9.2%</t>
  </si>
  <si>
    <t>Samples 12 | Win 33.3% | Avg range 9.0%</t>
  </si>
  <si>
    <t>Samples 12 | Win 50.0% | Avg range 10.0%</t>
  </si>
  <si>
    <t>Samples 12 | Win 75.0% | Avg range 9.9%</t>
  </si>
  <si>
    <t>Samples 12 | Win 75.0% | Avg range 8.9%</t>
  </si>
  <si>
    <t>Samples 12 | Win 58.3% | Avg range 7.9%</t>
  </si>
  <si>
    <t>Samples 11 | Win 90.9% | Avg range 7.8%</t>
  </si>
  <si>
    <t>Samples 11 | Win 63.6% | Avg range 8.7%</t>
  </si>
  <si>
    <t>Samples 11 | Win 45.5% | Avg range 7.9%</t>
  </si>
  <si>
    <t>Samples 11 | Win 54.5% | Avg range 8.9%</t>
  </si>
  <si>
    <t>Samples 11 | Win 81.8% | Avg range 7.9%</t>
  </si>
  <si>
    <t>Samples 11 | Win 63.6% | Avg range 7.6%</t>
  </si>
  <si>
    <t>Machine State</t>
  </si>
  <si>
    <t>Secondary Hours</t>
  </si>
  <si>
    <t>Trap / Continuation Note</t>
  </si>
  <si>
    <t>Sample Size</t>
  </si>
  <si>
    <t>Friday (35.8%) | Sun–Tue high 35.8%</t>
  </si>
  <si>
    <t>Sunday (20.7%) | Sun–Tue low 52.5%</t>
  </si>
  <si>
    <t>High 09:00 ET (15.1%) / Low 18:00 ET (18.4%)</t>
  </si>
  <si>
    <t>High hrs: 09:00 ET (15.1%), 10:00 ET (8.4%), 13:00 ET (6.7%) | Low hrs: 18:00 ET (18.4%), 09:00 ET (11.2%), 08:00 ET (9.5%)</t>
  </si>
  <si>
    <t>Baseline mixed-machine timing. Use as reference only; high-before-low 44.7%.</t>
  </si>
  <si>
    <t>High</t>
  </si>
  <si>
    <t>179 weeks</t>
  </si>
  <si>
    <t>Hourly calibration dataset</t>
  </si>
  <si>
    <t>Friday (62.9%) | Sun–Tue high 10.3%</t>
  </si>
  <si>
    <t>Sunday (37.1%) | Sun–Tue low 80.4%</t>
  </si>
  <si>
    <t>High 09:00 ET (15.5%) / Low 18:00 ET (26.8%)</t>
  </si>
  <si>
    <t>Bullish template: weekly low tends early; high-before-low only 7.2%. Watch early dip into support then late-week expansion.</t>
  </si>
  <si>
    <t>Moderate-High</t>
  </si>
  <si>
    <t>97 weeks</t>
  </si>
  <si>
    <t>Monday (29.3%) | Sun–Tue high 65.9%</t>
  </si>
  <si>
    <t>Friday (39.0%) | Sun–Tue low 19.5%</t>
  </si>
  <si>
    <t>High 09:00 ET (14.6%) / Low 09:00 ET (14.6%)</t>
  </si>
  <si>
    <t>Bearish template: weekly high tends early; high-before-low 89.0%. Watch early-week rally/fake reclaim into rejection.</t>
  </si>
  <si>
    <t>82 weeks</t>
  </si>
  <si>
    <t>Expansion</t>
  </si>
  <si>
    <t>Friday (47.1%) | Sun–Tue high 31.8%</t>
  </si>
  <si>
    <t>Sunday (29.4%) | Sun–Tue low 62.4%</t>
  </si>
  <si>
    <t>High 09:00 ET (10.6%) / Low 18:00 ET (24.7%)</t>
  </si>
  <si>
    <t>Expansion profile: use only after machine aligns and range expands; high-before-low 40.0%.</t>
  </si>
  <si>
    <t>85 weeks</t>
  </si>
  <si>
    <t>Friday (35.8%) | Sun–Tue high 34.1%</t>
  </si>
  <si>
    <t>Friday (26.3%) | Sun–Tue low 44.1%</t>
  </si>
  <si>
    <t>High 09:00 ET (15.6%) / Low 09:00 ET (14.5%)</t>
  </si>
  <si>
    <t>High hrs: 09:00 ET (15.6%), 10:00 ET (13.4%), 12:00 ET (11.7%) | Low hrs: 09:00 ET (14.5%), 10:00 ET (11.2%), 15:00 ET (7.8%)</t>
  </si>
  <si>
    <t>Baseline mixed-machine timing. Use as reference only; high-before-low 43.0%.</t>
  </si>
  <si>
    <t>Friday (58.7%) | Sun–Tue high 7.7%</t>
  </si>
  <si>
    <t>Monday (33.7%) | Sun–Tue low 64.4%</t>
  </si>
  <si>
    <t>High 10:00 ET (16.3%) / Low 09:00 ET (15.4%)</t>
  </si>
  <si>
    <t>Bullish template: weekly low tends early; high-before-low only 12.5%. Watch early dip into support then late-week expansion.</t>
  </si>
  <si>
    <t>104 weeks</t>
  </si>
  <si>
    <t>Monday (40.0%) | Sun–Tue high 70.7%</t>
  </si>
  <si>
    <t>Friday (54.7%) | Sun–Tue low 16.0%</t>
  </si>
  <si>
    <t>High 09:00 ET (22.7%) / Low 09:00 ET (13.3%)</t>
  </si>
  <si>
    <t>Bearish template: weekly high tends early; high-before-low 85.3%. Watch early-week rally/fake reclaim into rejection.</t>
  </si>
  <si>
    <t>75 weeks</t>
  </si>
  <si>
    <t>Friday (36.1%) | Sun–Tue high 37.3%</t>
  </si>
  <si>
    <t>Friday (31.3%) | Sun–Tue low 44.6%</t>
  </si>
  <si>
    <t>High 12:00 ET (12.0%) / Low 09:00 ET (9.6%)</t>
  </si>
  <si>
    <t>Expansion profile: use only after machine aligns and range expands; high-before-low 45.8%.</t>
  </si>
  <si>
    <t>83 weeks</t>
  </si>
  <si>
    <t>Friday (38.1%) | Sun–Tue high 30.7%</t>
  </si>
  <si>
    <t>Monday (30.4%) | Sun–Tue low 47.1%</t>
  </si>
  <si>
    <t>High 09:00 ET (35.6%) / Low 09:00 ET (34.4%)</t>
  </si>
  <si>
    <t>High hrs: 09:00 ET (35.6%), 15:00 ET (21.6%), 14:00 ET (10.9%) | Low hrs: 09:00 ET (34.4%), 10:00 ET (15.3%), 15:00 ET (14.4%)</t>
  </si>
  <si>
    <t>Baseline mixed-machine timing. Use as reference only; high-before-low 42.6%.</t>
  </si>
  <si>
    <t>596 weeks</t>
  </si>
  <si>
    <t>Friday (61.6%) | Sun–Tue high 6.8%</t>
  </si>
  <si>
    <t>Monday (49.4%) | Sun–Tue low 71.9%</t>
  </si>
  <si>
    <t>High 15:00 ET (27.3%) / Low 09:00 ET (44.9%)</t>
  </si>
  <si>
    <t>Bullish template: weekly low tends early; high-before-low only 9.7%. Watch early dip into support then late-week expansion.</t>
  </si>
  <si>
    <t>352 weeks</t>
  </si>
  <si>
    <t>Monday (38.1%) | Sun–Tue high 65.2%</t>
  </si>
  <si>
    <t>Friday (53.7%) | Sun–Tue low 11.5%</t>
  </si>
  <si>
    <t>High 09:00 ET (49.6%) / Low 15:00 ET (22.1%)</t>
  </si>
  <si>
    <t>Bearish template: weekly high tends early; high-before-low 90.2%. Watch early-week rally/fake reclaim into rejection.</t>
  </si>
  <si>
    <t>244 weeks</t>
  </si>
  <si>
    <t>Friday (35.6%) | Sun–Tue high 37.0%</t>
  </si>
  <si>
    <t>Monday (33.8%) | Sun–Tue low 44.7%</t>
  </si>
  <si>
    <t>High 09:00 ET (37.7%) / Low 09:00 ET (32.0%)</t>
  </si>
  <si>
    <t>Expansion profile: use only after machine aligns and range expands; high-before-low 47.5%.</t>
  </si>
  <si>
    <t>284 weeks</t>
  </si>
  <si>
    <t>Friday (37.1%) | Sun–Tue high 33.1%</t>
  </si>
  <si>
    <t>Monday (33.6%) | Sun–Tue low 50.7%</t>
  </si>
  <si>
    <t>High 09:00 ET (39.3%) / Low 09:00 ET (39.9%)</t>
  </si>
  <si>
    <t>High hrs: 09:00 ET (39.3%), 15:00 ET (20.1%), 10:00 ET (9.9%) | Low hrs: 09:00 ET (39.9%), 10:00 ET (15.1%), 15:00 ET (14.1%)</t>
  </si>
  <si>
    <t>Friday (59.6%) | Sun–Tue high 9.0%</t>
  </si>
  <si>
    <t>Monday (54.0%) | Sun–Tue low 76.3%</t>
  </si>
  <si>
    <t>High 09:00 ET (31.1%) / Low 09:00 ET (50.3%)</t>
  </si>
  <si>
    <t>Bullish template: weekly low tends early; high-before-low only 10.5%. Watch early dip into support then late-week expansion.</t>
  </si>
  <si>
    <t>354 weeks</t>
  </si>
  <si>
    <t>Monday (40.5%) | Sun–Tue high 68.2%</t>
  </si>
  <si>
    <t>Friday (55.0%) | Sun–Tue low 13.2%</t>
  </si>
  <si>
    <t>High 09:00 ET (51.2%) / Low 09:00 ET (24.8%)</t>
  </si>
  <si>
    <t>Bearish template: weekly high tends early; high-before-low 89.7%. Watch early-week rally/fake reclaim into rejection.</t>
  </si>
  <si>
    <t>242 weeks</t>
  </si>
  <si>
    <t>Friday (36.8%) | Sun–Tue high 36.4%</t>
  </si>
  <si>
    <t>Monday (35.4%) | Sun–Tue low 47.8%</t>
  </si>
  <si>
    <t>High 09:00 ET (40.2%) / Low 09:00 ET (38.8%)</t>
  </si>
  <si>
    <t>Expansion profile: use only after machine aligns and range expands; high-before-low 46.4%.</t>
  </si>
  <si>
    <t>291 weeks</t>
  </si>
  <si>
    <t>Manual Update Sheet</t>
  </si>
  <si>
    <t>68 / manual</t>
  </si>
  <si>
    <t>Below key level</t>
  </si>
  <si>
    <t>Pending confirmation</t>
  </si>
  <si>
    <t>Update manually based on weekly close / acceptance</t>
  </si>
  <si>
    <t>At decision zone</t>
  </si>
  <si>
    <t>Update manually from higher-timeframe structure</t>
  </si>
  <si>
    <t>Optional future asset</t>
  </si>
  <si>
    <t>User-defined</t>
  </si>
  <si>
    <t>Metric</t>
  </si>
  <si>
    <t>Previous</t>
  </si>
  <si>
    <t>Current</t>
  </si>
  <si>
    <t>Change</t>
  </si>
  <si>
    <t>Direction</t>
  </si>
  <si>
    <t>Manual / COT</t>
  </si>
  <si>
    <t>Log weekly COT changes here</t>
  </si>
  <si>
    <t>Log OI changes here</t>
  </si>
  <si>
    <t>FRED / chart</t>
  </si>
  <si>
    <t>Daily or weekly update</t>
  </si>
  <si>
    <t>DXY chart</t>
  </si>
  <si>
    <t>Dollar Index</t>
  </si>
  <si>
    <t>Directional Status</t>
  </si>
  <si>
    <t>Signal Strength</t>
  </si>
  <si>
    <t>Assets</t>
  </si>
  <si>
    <t>Strong Bullish</t>
  </si>
  <si>
    <t>Above key level</t>
  </si>
  <si>
    <t>Bullish Bias</t>
  </si>
  <si>
    <t>Neutral / Mixed</t>
  </si>
  <si>
    <t>Bearish Bias</t>
  </si>
  <si>
    <t>Rejecting resistance</t>
  </si>
  <si>
    <t>Conflict</t>
  </si>
  <si>
    <t>Strong Bearish</t>
  </si>
  <si>
    <t>Holding support</t>
  </si>
  <si>
    <t>Acceptance lower</t>
  </si>
  <si>
    <t>Acceptance higher</t>
  </si>
  <si>
    <t>Market Machine v4.6 — Final Calibrated Living Engine</t>
  </si>
  <si>
    <t>What changed in this version:</t>
  </si>
  <si>
    <t>Frequency</t>
  </si>
  <si>
    <t>1. Timing layer is populated from uploaded hourly datasets for XAGUSD, US30, SPX500, and NAS100.</t>
  </si>
  <si>
    <t>XAGUSD, US30, SPX500, NAS100, or Custom</t>
  </si>
  <si>
    <t>Anytime</t>
  </si>
  <si>
    <t>2. Seasonality layer is populated from uploaded monthly/hourly-calibrated data for the same core assets.</t>
  </si>
  <si>
    <t>Use Bullish / Neutral / Bearish. The dashboard calculates bullish, bearish, and neutral scores automatically.</t>
  </si>
  <si>
    <t>Daily / Weekly</t>
  </si>
  <si>
    <t>3. Calibration support sheets were added: Timing_Calibration, Calendar_Alerts, Lead_Lag, Gap_Behavior, Expansion_Profile, Sequence_Stats, and Calibration_Data_Coverage.</t>
  </si>
  <si>
    <t>Default: DXY 30%, Real Yields 30%, Managed Money 25%, OI 15%.</t>
  </si>
  <si>
    <t>As refined</t>
  </si>
  <si>
    <t>4. Signal_Engine now uses asset-coded CFTC proxy keys so CFTC_Raw can support XAGUSD, US30, SPX500, and NAS100 after the updated refreshCFTC() script runs.</t>
  </si>
  <si>
    <t>Current price, key level, acceptance/rejection, decision zone.</t>
  </si>
  <si>
    <t>Before trading window</t>
  </si>
  <si>
    <t>5. AppsScript_Code was upgraded with a dual CFTC pull: Legacy for commodities/legacy series and TFF for financial futures proxies.</t>
  </si>
  <si>
    <t>Current month flows into Dashboard automatically for selected asset.</t>
  </si>
  <si>
    <t>Monthly</t>
  </si>
  <si>
    <t>Bearish and bullish timing profiles can be different.</t>
  </si>
  <si>
    <t>After data studies</t>
  </si>
  <si>
    <t>Activation steps:</t>
  </si>
  <si>
    <t>The machine summarizes evidence; it does not replace discipline.</t>
  </si>
  <si>
    <t>Every review</t>
  </si>
  <si>
    <t>A. Upload this workbook to Google Sheets and convert/save as Google Sheets.</t>
  </si>
  <si>
    <t>B. Extensions → Apps Script → paste AppsScript_Code contents.</t>
  </si>
  <si>
    <t>No single variable should dominate without context.</t>
  </si>
  <si>
    <t>Always</t>
  </si>
  <si>
    <t>C. Run refreshFRED().</t>
  </si>
  <si>
    <t>D. Run refreshCFTC().</t>
  </si>
  <si>
    <t>The sheet is the brain; the app is the face.</t>
  </si>
  <si>
    <t>Later</t>
  </si>
  <si>
    <t>E. Return to Dashboard and choose asset from the dropdown.</t>
  </si>
  <si>
    <t>Interpretation rules:</t>
  </si>
  <si>
    <t>Machine score is live/weekly and should be read with the Timing layer, not in isolation.</t>
  </si>
  <si>
    <t>Timing layer is calibrated historical context; it is not a command to enter a trade.</t>
  </si>
  <si>
    <t>For bearish machine states, early-week high window and Friday low tendencies are prioritized.</t>
  </si>
  <si>
    <t>For bullish machine states, early-week low window and Friday high tendencies are prioritized.</t>
  </si>
  <si>
    <t>V4.7 BRIEFING / HEALTH / AI SCAFFOLD</t>
  </si>
  <si>
    <t>1</t>
  </si>
  <si>
    <t>Use Briefing tab first. It is the front-page market-weather read.</t>
  </si>
  <si>
    <t>2</t>
  </si>
  <si>
    <t>Use Dashboard for the detailed machine score and drill-down.</t>
  </si>
  <si>
    <t>3</t>
  </si>
  <si>
    <t>Use Health_Check after refreshAll() to verify feeds are alive.</t>
  </si>
  <si>
    <t>4</t>
  </si>
  <si>
    <t>Use Alert_Rules as the calendar/notification logic map.</t>
  </si>
  <si>
    <t>5</t>
  </si>
  <si>
    <t>Use AI_Prompt_Builder for manual AI briefing until API integration is desired.</t>
  </si>
  <si>
    <t>6</t>
  </si>
  <si>
    <t>AI is optional. The deterministic machine remains the primary source of truth.</t>
  </si>
  <si>
    <t>7</t>
  </si>
  <si>
    <t>Future app: Streamlit or web app should read Briefing + Dashboard + Signal_Engine.</t>
  </si>
  <si>
    <t>8</t>
  </si>
  <si>
    <t>Do not store API keys directly in a shared spreadsheet.</t>
  </si>
  <si>
    <t>9</t>
  </si>
  <si>
    <t>Run refreshFRED daily and refreshCFTC weekly; refreshAll can run both.</t>
  </si>
  <si>
    <t>10</t>
  </si>
  <si>
    <t>Use Notification_Log as a future output sink for automated email/app/calendar briefings.</t>
  </si>
  <si>
    <t>11</t>
  </si>
  <si>
    <t>Keep v4.6/v4.7 master archived before making major changes.</t>
  </si>
  <si>
    <t>Auto/Manual</t>
  </si>
  <si>
    <t>Threshold / Rule</t>
  </si>
  <si>
    <t>Raw Sheet</t>
  </si>
  <si>
    <t>TradingView webhook / manual</t>
  </si>
  <si>
    <t>DXY rising = Bearish Silver</t>
  </si>
  <si>
    <t>Webhook_Log</t>
  </si>
  <si>
    <t>Replace via webhook or manual update.</t>
  </si>
  <si>
    <t>Real yields rising = Bearish Silver</t>
  </si>
  <si>
    <t>FRED_Raw</t>
  </si>
  <si>
    <t>refreshFRED() fills FRED_Raw.</t>
  </si>
  <si>
    <t>Managed money liquidating = Bearish Silver</t>
  </si>
  <si>
    <t>CFTC_Raw</t>
  </si>
  <si>
    <t>refreshCFTC() fills CFTC_Raw; status can be formula-refined.</t>
  </si>
  <si>
    <t>CFTC / exchange</t>
  </si>
  <si>
    <t>OI contracting with liquidation = Bearish Silver</t>
  </si>
  <si>
    <t>Use CFTC or exchange OI.</t>
  </si>
  <si>
    <t>DXY rising often risk-off / Bearish risk assets</t>
  </si>
  <si>
    <t>Real yields rising = pressure on risk assets</t>
  </si>
  <si>
    <t>CFTC / futures proxy</t>
  </si>
  <si>
    <t>Risk positioning deteriorating = Bearish risk assets</t>
  </si>
  <si>
    <t>Use Dow/YM/TFF when mapped.</t>
  </si>
  <si>
    <t>OI contraction can signal participation loss</t>
  </si>
  <si>
    <t>Use futures OI if available.</t>
  </si>
  <si>
    <t>DXY rising can pressure risk assets</t>
  </si>
  <si>
    <t>Optional future asset.</t>
  </si>
  <si>
    <t>Real yields important for growth assets</t>
  </si>
  <si>
    <t>Data Pipe</t>
  </si>
  <si>
    <t>Primary Source</t>
  </si>
  <si>
    <t>URL / Endpoint</t>
  </si>
  <si>
    <t>Update Frequency</t>
  </si>
  <si>
    <t>Method</t>
  </si>
  <si>
    <t>Requires Keys</t>
  </si>
  <si>
    <t>Feeds Sheet</t>
  </si>
  <si>
    <t>FRED DFII10 / DGS10</t>
  </si>
  <si>
    <t>https://fred.stlouisfed.org/graph/fredgraph.csv</t>
  </si>
  <si>
    <t>Daily / on demand</t>
  </si>
  <si>
    <t>Apps Script refreshFRED()</t>
  </si>
  <si>
    <t>No</t>
  </si>
  <si>
    <t>Pulls recent real and nominal 10Y yields.</t>
  </si>
  <si>
    <t>CFTC Legacy</t>
  </si>
  <si>
    <t>CFTC Legacy Futures Only</t>
  </si>
  <si>
    <t>https://publicreporting.cftc.gov/resource/6dca-aqww.json</t>
  </si>
  <si>
    <t>Weekly / after Friday release</t>
  </si>
  <si>
    <t>Apps Script refreshCFTC()</t>
  </si>
  <si>
    <t>Used for metals and USD Index where commercial/noncommercial reporting is direct.</t>
  </si>
  <si>
    <t>CFTC TFF</t>
  </si>
  <si>
    <t>CFTC Traders in Financial Futures</t>
  </si>
  <si>
    <t>https://publicreporting.cftc.gov/resource/gpe5-46if.json</t>
  </si>
  <si>
    <t>Used as cleaner financial futures proxy for US30/SPX500/NAS100 where available.</t>
  </si>
  <si>
    <t>DXY / Structure</t>
  </si>
  <si>
    <t>TradingView webhook</t>
  </si>
  <si>
    <t>User-deployed Apps Script Web App URL</t>
  </si>
  <si>
    <t>Event based</t>
  </si>
  <si>
    <t>TradingView alert → doPost(e)</t>
  </si>
  <si>
    <t>TradingView alert access</t>
  </si>
  <si>
    <t>Webhook_Log / Live_Inputs</t>
  </si>
  <si>
    <t>Manual fallback remains available.</t>
  </si>
  <si>
    <t>Timing / Seasonality</t>
  </si>
  <si>
    <t>Uploaded hourly datasets</t>
  </si>
  <si>
    <t>Internal calibration sheets</t>
  </si>
  <si>
    <t>Static until next import</t>
  </si>
  <si>
    <t>Manual update from data study</t>
  </si>
  <si>
    <t>This version includes calibration data already.</t>
  </si>
  <si>
    <t>Briefing Front Page</t>
  </si>
  <si>
    <t>Internal formulas</t>
  </si>
  <si>
    <t>Briefing</t>
  </si>
  <si>
    <t>Every recalculation</t>
  </si>
  <si>
    <t>Formula</t>
  </si>
  <si>
    <t>Compact market-weather output.</t>
  </si>
  <si>
    <t>Health Check</t>
  </si>
  <si>
    <t>Health_Check</t>
  </si>
  <si>
    <t>PASS/REVIEW diagnostics.</t>
  </si>
  <si>
    <t>AI Prompt Builder</t>
  </si>
  <si>
    <t>AI_Prompt_Builder</t>
  </si>
  <si>
    <t>On demand</t>
  </si>
  <si>
    <t>Copy-paste AI briefing scaffold.</t>
  </si>
  <si>
    <t>Economic Calendar</t>
  </si>
  <si>
    <t>Manual / future feed</t>
  </si>
  <si>
    <t>Economic_Calendar</t>
  </si>
  <si>
    <t>Manual/API future</t>
  </si>
  <si>
    <t>Event risk/context layer.</t>
  </si>
  <si>
    <t>Notification Log</t>
  </si>
  <si>
    <t>Apps Script future</t>
  </si>
  <si>
    <t>Notification_Log</t>
  </si>
  <si>
    <t>On trigger</t>
  </si>
  <si>
    <t>Script</t>
  </si>
  <si>
    <t>Records sent briefings.</t>
  </si>
  <si>
    <t>App Roadmap</t>
  </si>
  <si>
    <t>Internal docs</t>
  </si>
  <si>
    <t>App_Roadmap</t>
  </si>
  <si>
    <t>Static</t>
  </si>
  <si>
    <t>Development pathway.</t>
  </si>
  <si>
    <t>Alert Rules</t>
  </si>
  <si>
    <t>Internal rules</t>
  </si>
  <si>
    <t>Alert_Rules</t>
  </si>
  <si>
    <t>Calendar-style alert logic.</t>
  </si>
  <si>
    <t>DFII10</t>
  </si>
  <si>
    <t>DGS10</t>
  </si>
  <si>
    <t>Pulled At</t>
  </si>
  <si>
    <t>Report Date</t>
  </si>
  <si>
    <t>Market</t>
  </si>
  <si>
    <t>Commercial Long</t>
  </si>
  <si>
    <t>Commercial Short</t>
  </si>
  <si>
    <t>Noncommercial Long</t>
  </si>
  <si>
    <t>Noncommercial Short</t>
  </si>
  <si>
    <t>Nonreportable Long</t>
  </si>
  <si>
    <t>Nonreportable Short</t>
  </si>
  <si>
    <t>legacy | SILVER - COMMODITY EXCHANGE INC.</t>
  </si>
  <si>
    <t>legacy | MICRO SILVER - COMMODITY EXCHANGE INC.</t>
  </si>
  <si>
    <t>legacy | DOW JONES U.S. REAL ESTATE IDX - CHICAGO BOARD OF TRADE</t>
  </si>
  <si>
    <t>legacy | E-MINI S&amp;P 500 - CHICAGO MERCANTILE EXCHANGE</t>
  </si>
  <si>
    <t>legacy | NASDAQ-100 Consolidated - CHICAGO MERCANTILE EXCHANGE</t>
  </si>
  <si>
    <t>Received At</t>
  </si>
  <si>
    <t>Price</t>
  </si>
  <si>
    <t>Time</t>
  </si>
  <si>
    <t>Ticker</t>
  </si>
  <si>
    <t>Raw JSON</t>
  </si>
  <si>
    <t>// GOOGLE APPS SCRIPT — MARKET MACHINE v4.7 BRIEFING ENGINE</t>
  </si>
  <si>
    <t>// Copy everything below into Extensions → Apps Script.</t>
  </si>
  <si>
    <t>// Run refreshAll() first, then run generateBriefingLog() to test briefing logging.</t>
  </si>
  <si>
    <t>// Optional: run installTriggers() to schedule daily FRED and weekly CFTC refreshes.</t>
  </si>
  <si>
    <t>const CONFIG = {</t>
  </si>
  <si>
    <t xml:space="preserve">  fredSeries: {</t>
  </si>
  <si>
    <t xml:space="preserve">    realYield10Y: 'DFII10',</t>
  </si>
  <si>
    <t xml:space="preserve">    nominal10Y: 'DGS10'</t>
  </si>
  <si>
    <t xml:space="preserve">  },</t>
  </si>
  <si>
    <t xml:space="preserve">  fredCsvBase: 'https://fred.stlouisfed.org/graph/fredgraph.csv?id=',</t>
  </si>
  <si>
    <t xml:space="preserve">  cftcEndpoints: {</t>
  </si>
  <si>
    <t xml:space="preserve">    legacy: 'https://publicreporting.cftc.gov/resource/6dca-aqww.json',</t>
  </si>
  <si>
    <t xml:space="preserve">    tff: 'https://publicreporting.cftc.gov/resource/yjak-hhbj.json'</t>
  </si>
  <si>
    <t xml:space="preserve">  cftcAssets: {</t>
  </si>
  <si>
    <t xml:space="preserve">    XAGUSD: {</t>
  </si>
  <si>
    <t xml:space="preserve">      endpoint: 'legacy',</t>
  </si>
  <si>
    <t xml:space="preserve">      mode: 'legacy',</t>
  </si>
  <si>
    <t xml:space="preserve">      queries: ['SILVER - COMMODITY EXCHANGE INC.']</t>
  </si>
  <si>
    <t xml:space="preserve">    },</t>
  </si>
  <si>
    <t xml:space="preserve">    US30: {</t>
  </si>
  <si>
    <t xml:space="preserve">      endpoint: 'tff',</t>
  </si>
  <si>
    <t xml:space="preserve">      mode: 'tff',</t>
  </si>
  <si>
    <t xml:space="preserve">      queries: [</t>
  </si>
  <si>
    <t xml:space="preserve">        'DOW JONES INDUSTRIAL AVERAGE - CHICAGO BOARD OF TRADE',</t>
  </si>
  <si>
    <t xml:space="preserve">        'DJIA consolidated futures proxy'</t>
  </si>
  <si>
    <t xml:space="preserve">      ]</t>
  </si>
  <si>
    <t xml:space="preserve">    SPX500: {</t>
  </si>
  <si>
    <t xml:space="preserve">        'S&amp;P 500 STOCK INDEX - CHICAGO MERCANTILE EXCHANGE',</t>
  </si>
  <si>
    <t xml:space="preserve">        'E-MINI S&amp;P 500 - CHICAGO MERCANTILE EXCHANGE',</t>
  </si>
  <si>
    <t xml:space="preserve">        'S&amp;P 500 Consolidated - CHICAGO MERCANTILE EXCHANGE'</t>
  </si>
  <si>
    <t xml:space="preserve">    NAS100: {</t>
  </si>
  <si>
    <t xml:space="preserve">        'NASDAQ-100 STOCK INDEX - CHICAGO MERCANTILE EXCHANGE',</t>
  </si>
  <si>
    <t xml:space="preserve">        'NASDAQ MINI - CHICAGO MERCANTILE EXCHANGE',</t>
  </si>
  <si>
    <t xml:space="preserve">        'NASDAQ-100 Consolidated - CHICAGO MERCANTILE EXCHANGE'</t>
  </si>
  <si>
    <t xml:space="preserve">    }</t>
  </si>
  <si>
    <t xml:space="preserve">  }</t>
  </si>
  <si>
    <t>};</t>
  </si>
  <si>
    <t>function ensureSheet_(name, headers) {</t>
  </si>
  <si>
    <t xml:space="preserve">  const ss = SpreadsheetApp.getActive();</t>
  </si>
  <si>
    <t xml:space="preserve">  let sh = ss.getSheetByName(name);</t>
  </si>
  <si>
    <t xml:space="preserve">  if (!sh) sh = ss.insertSheet(name);</t>
  </si>
  <si>
    <t xml:space="preserve">  if (headers &amp;&amp; headers.length &amp;&amp; sh.getLastRow() === 0) sh.appendRow(headers);</t>
  </si>
  <si>
    <t xml:space="preserve">  return sh;</t>
  </si>
  <si>
    <t>}</t>
  </si>
  <si>
    <t>function parseCsv_(text) {</t>
  </si>
  <si>
    <t xml:space="preserve">  return Utilities.parseCsv(text);</t>
  </si>
  <si>
    <t>function refreshFRED() {</t>
  </si>
  <si>
    <t xml:space="preserve">  const sh = ensureSheet_('FRED_Raw', ['Date', 'DFII10', 'DGS10', 'Source', 'Pulled At', 'Notes']);</t>
  </si>
  <si>
    <t xml:space="preserve">  sh.clearContents();</t>
  </si>
  <si>
    <t xml:space="preserve">  sh.appendRow(['Date', 'DFII10', 'DGS10', 'Source', 'Pulled At', 'Notes']);</t>
  </si>
  <si>
    <t xml:space="preserve">  const now = new Date();</t>
  </si>
  <si>
    <t xml:space="preserve">  const realUrl = CONFIG.fredCsvBase + CONFIG.fredSeries.realYield10Y;</t>
  </si>
  <si>
    <t xml:space="preserve">  const nomUrl = CONFIG.fredCsvBase + CONFIG.fredSeries.nominal10Y;</t>
  </si>
  <si>
    <t xml:space="preserve">  const realRows = parseCsv_(UrlFetchApp.fetch(realUrl, {muteHttpExceptions:true}).getContentText());</t>
  </si>
  <si>
    <t xml:space="preserve">  const nomRows = parseCsv_(UrlFetchApp.fetch(nomUrl, {muteHttpExceptions:true}).getContentText());</t>
  </si>
  <si>
    <t xml:space="preserve">  const nomMap = {};</t>
  </si>
  <si>
    <t xml:space="preserve">  for (let i = 1; i &lt; nomRows.length; i++) {</t>
  </si>
  <si>
    <t xml:space="preserve">    if (nomRows[i][0]) nomMap[nomRows[i][0]] = nomRows[i][1];</t>
  </si>
  <si>
    <t xml:space="preserve">  const out = [];</t>
  </si>
  <si>
    <t xml:space="preserve">  for (let i = 1; i &lt; realRows.length; i++) {</t>
  </si>
  <si>
    <t xml:space="preserve">    const dt = realRows[i][0];</t>
  </si>
  <si>
    <t xml:space="preserve">    const real = realRows[i][1];</t>
  </si>
  <si>
    <t xml:space="preserve">    const nom = nomMap[dt] || '';</t>
  </si>
  <si>
    <t xml:space="preserve">    if (dt &amp;&amp; real &amp;&amp; real !== '.') {</t>
  </si>
  <si>
    <t xml:space="preserve">      out.push([dt, Number(real), nom &amp;&amp; nom !== '.' ? Number(nom) : '', 'FRED', now, 'Auto pulled by refreshFRED']);</t>
  </si>
  <si>
    <t xml:space="preserve">  // Keep recent slice for performance.</t>
  </si>
  <si>
    <t xml:space="preserve">  const recent = out.slice(Math.max(0, out.length - 500));</t>
  </si>
  <si>
    <t xml:space="preserve">  if (recent.length) sh.getRange(2, 1, recent.length, recent[0].length).setValues(recent);</t>
  </si>
  <si>
    <t>function buildCftcQuery_(endpoint, mode, q, limit) {</t>
  </si>
  <si>
    <t xml:space="preserve">  const marketField = mode === 'tff' ? 'market_and_exchange_names' : 'market_and_exchange_names';</t>
  </si>
  <si>
    <t xml:space="preserve">  return endpoint +</t>
  </si>
  <si>
    <t xml:space="preserve">    '?$limit=' + limit +</t>
  </si>
  <si>
    <t xml:space="preserve">    '&amp;$order=report_date_as_yyyy_mm_dd DESC' +</t>
  </si>
  <si>
    <t xml:space="preserve">    '&amp;' + marketField + '=' + encodeURIComponent(q);</t>
  </si>
  <si>
    <t>function mapCftcRow_(d, mode) {</t>
  </si>
  <si>
    <t xml:space="preserve">  // Legacy and TFF endpoints use slightly different field names.</t>
  </si>
  <si>
    <t xml:space="preserve">  const openInterest =</t>
  </si>
  <si>
    <t xml:space="preserve">    d.open_interest_all || d.open_interest || d.open_interest_futonly || 0;</t>
  </si>
  <si>
    <t xml:space="preserve">  const commercialLong =</t>
  </si>
  <si>
    <t xml:space="preserve">    d.comm_positions_long_all || d.dealer_positions_long_all || d.prod_merc_positions_long || 0;</t>
  </si>
  <si>
    <t xml:space="preserve">  const commercialShort =</t>
  </si>
  <si>
    <t xml:space="preserve">    d.comm_positions_short_all || d.dealer_positions_short_all || d.prod_merc_positions_short || 0;</t>
  </si>
  <si>
    <t xml:space="preserve">  const noncommercialLong =</t>
  </si>
  <si>
    <t xml:space="preserve">    d.noncomm_positions_long_all || d.asset_mgr_positions_long || d.lev_money_positions_long || 0;</t>
  </si>
  <si>
    <t xml:space="preserve">  const noncommercialShort =</t>
  </si>
  <si>
    <t xml:space="preserve">    d.noncomm_positions_short_all || d.asset_mgr_positions_short || d.lev_money_positions_short || 0;</t>
  </si>
  <si>
    <t xml:space="preserve">  const nonreportableLong =</t>
  </si>
  <si>
    <t xml:space="preserve">    d.nonrept_positions_long_all || d.other_rept_positions_long || 0;</t>
  </si>
  <si>
    <t xml:space="preserve">  const nonreportableShort =</t>
  </si>
  <si>
    <t xml:space="preserve">    d.nonrept_positions_short_all || d.other_rept_positions_short || 0;</t>
  </si>
  <si>
    <t xml:space="preserve">  return {</t>
  </si>
  <si>
    <t xml:space="preserve">    openInterest: Number(openInterest) || 0,</t>
  </si>
  <si>
    <t xml:space="preserve">    commercialLong: Number(commercialLong) || 0,</t>
  </si>
  <si>
    <t xml:space="preserve">    commercialShort: Number(commercialShort) || 0,</t>
  </si>
  <si>
    <t xml:space="preserve">    noncommercialLong: Number(noncommercialLong) || 0,</t>
  </si>
  <si>
    <t xml:space="preserve">    noncommercialShort: Number(noncommercialShort) || 0,</t>
  </si>
  <si>
    <t xml:space="preserve">    nonreportableLong: Number(nonreportableLong) || 0,</t>
  </si>
  <si>
    <t xml:space="preserve">    nonreportableShort: Number(nonreportableShort) || 0</t>
  </si>
  <si>
    <t xml:space="preserve">  };</t>
  </si>
  <si>
    <t>function refreshCFTC() {</t>
  </si>
  <si>
    <t xml:space="preserve">  const sh = ensureSheet_('CFTC_Raw', [</t>
  </si>
  <si>
    <t xml:space="preserve">    'Report Date', 'Market', 'Open Interest', 'Commercial Long', 'Commercial Short',</t>
  </si>
  <si>
    <t xml:space="preserve">    'Noncommercial Long', 'Noncommercial Short', 'Nonreportable Long', 'Nonreportable Short',</t>
  </si>
  <si>
    <t xml:space="preserve">    'Pulled At', 'Source'</t>
  </si>
  <si>
    <t xml:space="preserve">  ]);</t>
  </si>
  <si>
    <t xml:space="preserve">  sh.appendRow([</t>
  </si>
  <si>
    <t xml:space="preserve">  Object.keys(CONFIG.cftcAssets).forEach(asset =&gt; {</t>
  </si>
  <si>
    <t xml:space="preserve">    const cfg = CONFIG.cftcAssets[asset];</t>
  </si>
  <si>
    <t xml:space="preserve">    const endpoint = CONFIG.cftcEndpoints[cfg.endpoint];</t>
  </si>
  <si>
    <t xml:space="preserve">    let pulled = false;</t>
  </si>
  <si>
    <t xml:space="preserve">    cfg.queries.forEach(q =&gt; {</t>
  </si>
  <si>
    <t xml:space="preserve">      if (pulled) return;</t>
  </si>
  <si>
    <t xml:space="preserve">      const queryUrl = buildCftcQuery_(endpoint, cfg.mode, q, 20);</t>
  </si>
  <si>
    <t xml:space="preserve">      const response = UrlFetchApp.fetch(queryUrl, {</t>
  </si>
  <si>
    <t xml:space="preserve">        muteHttpExceptions: true,</t>
  </si>
  <si>
    <t xml:space="preserve">        followRedirects: true</t>
  </si>
  <si>
    <t xml:space="preserve">      });</t>
  </si>
  <si>
    <t xml:space="preserve">      const code = response.getResponseCode();</t>
  </si>
  <si>
    <t xml:space="preserve">      if (code !== 200) return;</t>
  </si>
  <si>
    <t xml:space="preserve">      const rows = JSON.parse(response.getContentText());</t>
  </si>
  <si>
    <t xml:space="preserve">      if (!rows || rows.length &lt; 2) return;</t>
  </si>
  <si>
    <t xml:space="preserve">      rows.forEach(d =&gt; {</t>
  </si>
  <si>
    <t xml:space="preserve">        const mapped = mapCftcRow_(d, cfg.mode);</t>
  </si>
  <si>
    <t xml:space="preserve">        // Important: keep the source date as a plain value; do not wrap with new Date().</t>
  </si>
  <si>
    <t xml:space="preserve">        // This avoids the 12/31/1969 phantom date issue.</t>
  </si>
  <si>
    <t xml:space="preserve">        const reportDate = d.report_date_as_yyyy_mm_dd || d.report_date || '';</t>
  </si>
  <si>
    <t xml:space="preserve">        sh.appendRow([</t>
  </si>
  <si>
    <t xml:space="preserve">          reportDate,</t>
  </si>
  <si>
    <t xml:space="preserve">          asset,</t>
  </si>
  <si>
    <t xml:space="preserve">          mapped.openInterest,</t>
  </si>
  <si>
    <t xml:space="preserve">          mapped.commercialLong,</t>
  </si>
  <si>
    <t xml:space="preserve">          mapped.commercialShort,</t>
  </si>
  <si>
    <t xml:space="preserve">          mapped.noncommercialLong,</t>
  </si>
  <si>
    <t xml:space="preserve">          mapped.noncommercialShort,</t>
  </si>
  <si>
    <t xml:space="preserve">          mapped.nonreportableLong,</t>
  </si>
  <si>
    <t xml:space="preserve">          mapped.nonreportableShort,</t>
  </si>
  <si>
    <t xml:space="preserve">          now,</t>
  </si>
  <si>
    <t xml:space="preserve">          cfg.endpoint + ' | ' + (d.market_and_exchange_names || q)</t>
  </si>
  <si>
    <t xml:space="preserve">        ]);</t>
  </si>
  <si>
    <t xml:space="preserve">      pulled = true;</t>
  </si>
  <si>
    <t xml:space="preserve">    });</t>
  </si>
  <si>
    <t xml:space="preserve">    if (!pulled) {</t>
  </si>
  <si>
    <t xml:space="preserve">      sh.appendRow(['ERROR', asset, '', '', '', '', '', '', '', now, 'No CFTC rows found for configured queries']);</t>
  </si>
  <si>
    <t xml:space="preserve">  });</t>
  </si>
  <si>
    <t>function refreshAll() {</t>
  </si>
  <si>
    <t xml:space="preserve">  refreshFRED();</t>
  </si>
  <si>
    <t xml:space="preserve">  refreshCFTC();</t>
  </si>
  <si>
    <t>function getCell_(sheetName, a1) {</t>
  </si>
  <si>
    <t xml:space="preserve">  const sh = SpreadsheetApp.getActive().getSheetByName(sheetName);</t>
  </si>
  <si>
    <t xml:space="preserve">  return sh ? sh.getRange(a1).getDisplayValue() : '';</t>
  </si>
  <si>
    <t>function generateBriefingText() {</t>
  </si>
  <si>
    <t xml:space="preserve">  const sh = ss.getSheetByName('Briefing');</t>
  </si>
  <si>
    <t xml:space="preserve">  if (!sh) return 'Briefing sheet not found.';</t>
  </si>
  <si>
    <t xml:space="preserve">  const asset = sh.getRange('B4').getDisplayValue();</t>
  </si>
  <si>
    <t xml:space="preserve">  const environment = sh.getRange('B6').getDisplayValue();</t>
  </si>
  <si>
    <t xml:space="preserve">  const conviction = sh.getRange('E6').getDisplayValue();</t>
  </si>
  <si>
    <t xml:space="preserve">  const alignment = sh.getRange('H6').getDisplayValue();</t>
  </si>
  <si>
    <t xml:space="preserve">  const conflict = sh.getRange('B8').getDisplayValue();</t>
  </si>
  <si>
    <t xml:space="preserve">  const window = sh.getRange('B10').getDisplayValue();</t>
  </si>
  <si>
    <t xml:space="preserve">  const note = sh.getRange('B12').getDisplayValue();</t>
  </si>
  <si>
    <t xml:space="preserve">  return [</t>
  </si>
  <si>
    <t xml:space="preserve">    'MARKET MACHINE BRIEFING — ' + asset,</t>
  </si>
  <si>
    <t xml:space="preserve">    'Environment: ' + environment,</t>
  </si>
  <si>
    <t xml:space="preserve">    'Conviction: ' + conviction + ' | Historical Alignment: ' + alignment,</t>
  </si>
  <si>
    <t xml:space="preserve">    'Primary Conflict: ' + conflict,</t>
  </si>
  <si>
    <t xml:space="preserve">    'Timing Window: ' + window,</t>
  </si>
  <si>
    <t xml:space="preserve">    'Operational Note: ' + note</t>
  </si>
  <si>
    <t xml:space="preserve">  ].join('\n');</t>
  </si>
  <si>
    <t>function generateBriefingLog() {</t>
  </si>
  <si>
    <t xml:space="preserve">  const log = ensureSheet_('Notification_Log', ['Timestamp','Asset','Machine Reading','Conviction','Alert Type','Message','Delivery Status','Notes']);</t>
  </si>
  <si>
    <t xml:space="preserve">  const briefing = generateBriefingText();</t>
  </si>
  <si>
    <t xml:space="preserve">  const asset = getCell_('Briefing','B4');</t>
  </si>
  <si>
    <t xml:space="preserve">  const reading = getCell_('Briefing','B6');</t>
  </si>
  <si>
    <t xml:space="preserve">  const conviction = getCell_('Briefing','E6');</t>
  </si>
  <si>
    <t xml:space="preserve">  log.appendRow([new Date(), asset, reading, conviction, 'Generated Briefing', briefing, 'Logged', 'No email sent']);</t>
  </si>
  <si>
    <t>function sendBriefingEmail() {</t>
  </si>
  <si>
    <t xml:space="preserve">  const recipient = Session.getActiveUser().getEmail();</t>
  </si>
  <si>
    <t xml:space="preserve">  const subject = 'Market Machine Briefing';</t>
  </si>
  <si>
    <t xml:space="preserve">  const body = generateBriefingText();</t>
  </si>
  <si>
    <t xml:space="preserve">  GmailApp.sendEmail(recipient, subject, body);</t>
  </si>
  <si>
    <t xml:space="preserve">  log.appendRow([new Date(), getCell_('Briefing','B4'), getCell_('Briefing','B6'), getCell_('Briefing','E6'), 'Email Briefing', body, 'Sent', recipient]);</t>
  </si>
  <si>
    <t>function installTriggers() {</t>
  </si>
  <si>
    <t xml:space="preserve">  // Run once. This does not duplicate protection; review triggers manually if needed.</t>
  </si>
  <si>
    <t xml:space="preserve">  ScriptApp.newTrigger('refreshFRED').timeBased().everyDays(1).atHour(7).create();</t>
  </si>
  <si>
    <t xml:space="preserve">  ScriptApp.newTrigger('refreshCFTC').timeBased().onWeekDay(ScriptApp.WeekDay.FRIDAY).atHour(18).create();</t>
  </si>
  <si>
    <t xml:space="preserve">  ScriptApp.newTrigger('generateBriefingLog').timeBased().everyDays(1).atHour(7).create();</t>
  </si>
  <si>
    <t>function doPost(e) {</t>
  </si>
  <si>
    <t xml:space="preserve">  const payload = JSON.parse(e.postData.contents || '{}');</t>
  </si>
  <si>
    <t xml:space="preserve">  const log = ensureSheet_('Webhook_Log', ['Timestamp','Asset','Variable','Status','Price','Source','Raw Payload','Notes','Processed']);</t>
  </si>
  <si>
    <t xml:space="preserve">  log.appendRow([new Date(), payload.asset || '', payload.variable || '', payload.status || '', payload.price || '', 'TradingView/Webhook', JSON.stringify(payload), '', true]);</t>
  </si>
  <si>
    <t xml:space="preserve">  // Optional: live input update if matching columns exist.</t>
  </si>
  <si>
    <t xml:space="preserve">  const live = ss.getSheetByName('Live_Inputs');</t>
  </si>
  <si>
    <t xml:space="preserve">  if (live &amp;&amp; payload.asset &amp;&amp; payload.variable &amp;&amp; payload.status) {</t>
  </si>
  <si>
    <t xml:space="preserve">    const data = live.getDataRange().getValues();</t>
  </si>
  <si>
    <t xml:space="preserve">    for (let i = 1; i &lt; data.length; i++) {</t>
  </si>
  <si>
    <t xml:space="preserve">      if (String(data[i][0]).toUpperCase() === String(payload.asset).toUpperCase()</t>
  </si>
  <si>
    <t xml:space="preserve">          &amp;&amp; String(data[i][1]).toUpperCase() === String(payload.variable).toUpperCase()) {</t>
  </si>
  <si>
    <t xml:space="preserve">        live.getRange(i + 1, 4).setValue(payload.status);</t>
  </si>
  <si>
    <t xml:space="preserve">        live.getRange(i + 1, 5).setValue(payload.price || '');</t>
  </si>
  <si>
    <t xml:space="preserve">        live.getRange(i + 1, 6).setValue(new Date());</t>
  </si>
  <si>
    <t xml:space="preserve">        live.getRange(i + 1, 7).setValue('Live Webhook');</t>
  </si>
  <si>
    <t xml:space="preserve">        break;</t>
  </si>
  <si>
    <t xml:space="preserve">      }</t>
  </si>
  <si>
    <t xml:space="preserve">  return ContentService.createTextOutput(JSON.stringify({ok:true})).setMimeType(ContentService.MimeType.JSON);</t>
  </si>
  <si>
    <t>Market Machine Live Activation — v4.4 Signal Engine</t>
  </si>
  <si>
    <t>Step</t>
  </si>
  <si>
    <t>Where</t>
  </si>
  <si>
    <t>Expected Result</t>
  </si>
  <si>
    <t>Upload this workbook to Google Sheets and save as native Google Sheets.</t>
  </si>
  <si>
    <t>Google Drive / Sheets</t>
  </si>
  <si>
    <t>Extensions menu appears.</t>
  </si>
  <si>
    <t>Required</t>
  </si>
  <si>
    <t>Excel cannot run Apps Script.</t>
  </si>
  <si>
    <t>Open AppsScript_Code tab, copy all lines, paste into Extensions → Apps Script, save.</t>
  </si>
  <si>
    <t>Google Sheets</t>
  </si>
  <si>
    <t>Functions appear: refreshFRED, refreshCFTC, refreshAll, installTriggers.</t>
  </si>
  <si>
    <t>Line 1 is commented and safe to paste.</t>
  </si>
  <si>
    <t>Run refreshFRED.</t>
  </si>
  <si>
    <t>Apps Script</t>
  </si>
  <si>
    <t>FRED_Raw populates; Live_Inputs real yields update.</t>
  </si>
  <si>
    <t>If FRED times out, rerun. Script has retry logic.</t>
  </si>
  <si>
    <t>Run refreshCFTC.</t>
  </si>
  <si>
    <t>CFTC_Raw populates; Live_Inputs managed money/open interest update.</t>
  </si>
  <si>
    <t>CFTC endpoint is 6dca-aqww.</t>
  </si>
  <si>
    <t>Return to Signal_Engine tab.</t>
  </si>
  <si>
    <t>Commercial Net, Noncommercial Net, OI Change, signals, weighted scores calculate.</t>
  </si>
  <si>
    <t>This is the brain between raw data and dashboard.</t>
  </si>
  <si>
    <t>Open Dashboard and select asset.</t>
  </si>
  <si>
    <t>Dashboard</t>
  </si>
  <si>
    <t>Machine score, seasonality, timing, structure, final read update.</t>
  </si>
  <si>
    <t>XAGUSD is most complete right now.</t>
  </si>
  <si>
    <t>Optional: deploy doPost as Web App and connect TradingView alerts.</t>
  </si>
  <si>
    <t>Apps Script / TradingView</t>
  </si>
  <si>
    <t>DXY or structure webhooks update Live_Inputs.</t>
  </si>
  <si>
    <t>Webhook is the next pipe after FRED/CFTC.</t>
  </si>
  <si>
    <t>Optional: installTriggers().</t>
  </si>
  <si>
    <t>FRED refreshes daily; CFTC refreshes Friday afternoon.</t>
  </si>
  <si>
    <t>Only run after manual tests work.</t>
  </si>
  <si>
    <t>TRADINGVIEW WEBHOOK PAYLOADS</t>
  </si>
  <si>
    <t>Use Case</t>
  </si>
  <si>
    <t>JSON Message</t>
  </si>
  <si>
    <t>DXY bullish dollar pressure</t>
  </si>
  <si>
    <t>{"asset":"XAGUSD","variable":"DXY","status":"Bearish","price":"{{close}}","time":"{{time}}","ticker":"{{ticker}}"}</t>
  </si>
  <si>
    <t>Use when DXY condition implies bearish silver.</t>
  </si>
  <si>
    <t>DXY weakness</t>
  </si>
  <si>
    <t>{"asset":"XAGUSD","variable":"DXY","status":"Bullish","price":"{{close}}","time":"{{time}}","ticker":"{{ticker}}"}</t>
  </si>
  <si>
    <t>Use when DXY weakness supports silver.</t>
  </si>
  <si>
    <t>Structure break</t>
  </si>
  <si>
    <t>{"asset":"XAGUSD","variable":"Structure","status":"Bearish","price":"{{close}}","time":"{{time}}","ticker":"{{ticker}}"}</t>
  </si>
  <si>
    <t>Use for structure/acceptance events.</t>
  </si>
  <si>
    <t>US30 risk pressure</t>
  </si>
  <si>
    <t>{"asset":"US30","variable":"DXY","status":"Bearish","price":"{{close}}","time":"{{time}}","ticker":"{{ticker}}"}</t>
  </si>
  <si>
    <t>Use when dollar/yield/risk conditions pressure US30.</t>
  </si>
  <si>
    <t>CFTC Proxy Key</t>
  </si>
  <si>
    <t>Latest Report Date</t>
  </si>
  <si>
    <t>Previous Report Date</t>
  </si>
  <si>
    <t>Prev OI</t>
  </si>
  <si>
    <t>OI Change</t>
  </si>
  <si>
    <t>Commercial Net</t>
  </si>
  <si>
    <t>Prev Commercial Net</t>
  </si>
  <si>
    <t>Commercial Change</t>
  </si>
  <si>
    <t>Noncommercial Net</t>
  </si>
  <si>
    <t>Prev Noncommercial Net</t>
  </si>
  <si>
    <t>Noncommercial Change</t>
  </si>
  <si>
    <t>Latest Real Yield</t>
  </si>
  <si>
    <t>Prior Real Yield</t>
  </si>
  <si>
    <t>Real Yield Change</t>
  </si>
  <si>
    <t>Real Yield Signal</t>
  </si>
  <si>
    <t>Positioning Signal</t>
  </si>
  <si>
    <t>Commercial Context</t>
  </si>
  <si>
    <t>Open Interest Signal</t>
  </si>
  <si>
    <t>Weighted Bullish %</t>
  </si>
  <si>
    <t>Weighted Bearish %</t>
  </si>
  <si>
    <t>Weighted Neutral %</t>
  </si>
  <si>
    <t>Signal Notes</t>
  </si>
  <si>
    <t>Commercial Alert</t>
  </si>
  <si>
    <t>Positioning Alert</t>
  </si>
  <si>
    <t>Commercial Score</t>
  </si>
  <si>
    <t>Positioning Score</t>
  </si>
  <si>
    <t>OI Score</t>
  </si>
  <si>
    <t>DXY Score</t>
  </si>
  <si>
    <t>Real Yield Score</t>
  </si>
  <si>
    <t>Final Machine Reading</t>
  </si>
  <si>
    <t>Final Score Notes</t>
  </si>
  <si>
    <t>Weekly Timing by Asset + Machine State</t>
  </si>
  <si>
    <t>State</t>
  </si>
  <si>
    <t>Weeks</t>
  </si>
  <si>
    <t>TopHighDay</t>
  </si>
  <si>
    <t>HighDayPct</t>
  </si>
  <si>
    <t>TopLowDay</t>
  </si>
  <si>
    <t>LowDayPct</t>
  </si>
  <si>
    <t>TopHighHourET</t>
  </si>
  <si>
    <t>HighHourPct</t>
  </si>
  <si>
    <t>TopLowHourET</t>
  </si>
  <si>
    <t>LowHourPct</t>
  </si>
  <si>
    <t>EarlyHighSunTuePct</t>
  </si>
  <si>
    <t>EarlyLowSunTuePct</t>
  </si>
  <si>
    <t>HighBeforeLowPct</t>
  </si>
  <si>
    <t>US30_CFD</t>
  </si>
  <si>
    <t>All</t>
  </si>
  <si>
    <t>Friday</t>
  </si>
  <si>
    <t>BullishWeeks</t>
  </si>
  <si>
    <t>Monday</t>
  </si>
  <si>
    <t>BearishWeeks</t>
  </si>
  <si>
    <t>ExpansionWeeks</t>
  </si>
  <si>
    <t>SPX</t>
  </si>
  <si>
    <t>VIX</t>
  </si>
  <si>
    <t>DJI</t>
  </si>
  <si>
    <t>SI_COMEX</t>
  </si>
  <si>
    <t>Sunday</t>
  </si>
  <si>
    <t>XAGUSD_SPOT</t>
  </si>
  <si>
    <t>GOLD</t>
  </si>
  <si>
    <t>NDX</t>
  </si>
  <si>
    <t>Calendar-Style Alerts to Add</t>
  </si>
  <si>
    <t>Alert Name</t>
  </si>
  <si>
    <t>Time Window</t>
  </si>
  <si>
    <t>Applies When</t>
  </si>
  <si>
    <t>Action Note</t>
  </si>
  <si>
    <t>Weekly Open</t>
  </si>
  <si>
    <t>Sunday 18:00 ET</t>
  </si>
  <si>
    <t>Check gap direction, gap size, first impulse, and Machine read. Do not chase first print.</t>
  </si>
  <si>
    <t>Early Week High Window</t>
  </si>
  <si>
    <t>Monday 08:30–10:30 ET</t>
  </si>
  <si>
    <t>Bearish Silver / Bearish US30</t>
  </si>
  <si>
    <t>Primary watch for weekly high/liquidity pop. Require structure rejection and Machine confirmation.</t>
  </si>
  <si>
    <t>Tuesday 08:30–10:30 ET</t>
  </si>
  <si>
    <t>Secondary high window. If Monday did not form high, Tuesday becomes priority.</t>
  </si>
  <si>
    <t>Bullish Weekly Low Window</t>
  </si>
  <si>
    <t>Sunday 18:00–23:00 ET</t>
  </si>
  <si>
    <t>Bullish Silver / Bullish Risk</t>
  </si>
  <si>
    <t>Silver bullish weeks often form low Sunday evening; use only if machine aligns bullish.</t>
  </si>
  <si>
    <t>Monday 09:00–10:30 ET</t>
  </si>
  <si>
    <t>Bullish US30/SPX/NDX</t>
  </si>
  <si>
    <t>Index bullish weeks often form low Monday 9 AM ET area.</t>
  </si>
  <si>
    <t>Thursday Reversal Watch</t>
  </si>
  <si>
    <t>Thursday 09:00–15:30 ET</t>
  </si>
  <si>
    <t>Mixed / late-week liquidity</t>
  </si>
  <si>
    <t>Watch for weekly extreme and Friday reversal/terminal behavior.</t>
  </si>
  <si>
    <t>Friday Terminal Extreme</t>
  </si>
  <si>
    <t>Friday 09:00–15:30 ET</t>
  </si>
  <si>
    <t>Trend continuation weeks</t>
  </si>
  <si>
    <t>Bearish weeks often print terminal low Friday; bullish weeks often print terminal high Friday.</t>
  </si>
  <si>
    <t>Dataset Coverage</t>
  </si>
  <si>
    <t>Rows</t>
  </si>
  <si>
    <t>Start</t>
  </si>
  <si>
    <t>End</t>
  </si>
  <si>
    <t>MedianWeeklyRangePct</t>
  </si>
  <si>
    <t>AvgWeeklyRangePct</t>
  </si>
  <si>
    <t>2023-01-02 18:00:00-05:00</t>
  </si>
  <si>
    <t>2026-06-07 23:00:00-04:00</t>
  </si>
  <si>
    <t>2015-01-02 09:30:00-05:00</t>
  </si>
  <si>
    <t>2026-06-05 15:30:00-04:00</t>
  </si>
  <si>
    <t>2020-01-02 03:15:00-05:00</t>
  </si>
  <si>
    <t>Lead/Lag and Correlation</t>
  </si>
  <si>
    <t>Pair</t>
  </si>
  <si>
    <t>SameHourCorr</t>
  </si>
  <si>
    <t>BestLagHours_A_leads_B</t>
  </si>
  <si>
    <t>BestLagCorr</t>
  </si>
  <si>
    <t>Beta_B_on_A</t>
  </si>
  <si>
    <t>SI_COMEX vs XAGUSD_SPOT</t>
  </si>
  <si>
    <t>GOLD vs XAGUSD_SPOT</t>
  </si>
  <si>
    <t>Sunday / Week-Opening Gap Behavior</t>
  </si>
  <si>
    <t>GapWeeks</t>
  </si>
  <si>
    <t>MedianAbsGapPct</t>
  </si>
  <si>
    <t>GapFillRatePct</t>
  </si>
  <si>
    <t>BigGapWeeks_gt005pct</t>
  </si>
  <si>
    <t>BigGapFillRatePct</t>
  </si>
  <si>
    <t>DownGapPct</t>
  </si>
  <si>
    <t>Expansion vs Consolidation Behavior</t>
  </si>
  <si>
    <t>ExpansionPct</t>
  </si>
  <si>
    <t>AfterExpansionNextWeekSameDirectionPct</t>
  </si>
  <si>
    <t>AfterExpansionNextWeekAvgRetPct</t>
  </si>
  <si>
    <t>AfterExpansionNextWeekAvgRangePct</t>
  </si>
  <si>
    <t>MedianRangePct</t>
  </si>
  <si>
    <t>High-to-Low / Low-to-High Sequencing</t>
  </si>
  <si>
    <t>LowBeforeHighPct</t>
  </si>
  <si>
    <t>Copy/Integrate These Rules Into Timing + Calendar Layers</t>
  </si>
  <si>
    <t>Asset/Layer</t>
  </si>
  <si>
    <t>Timing Rule</t>
  </si>
  <si>
    <t>Calendar Alert</t>
  </si>
  <si>
    <t>Machine Integration Note</t>
  </si>
  <si>
    <t>XAGUSD / Silver</t>
  </si>
  <si>
    <t>Bearish machine</t>
  </si>
  <si>
    <t>Weekly high window: Sunday–Tuesday; top day Monday in spot, Sunday in SI. Primary high hour: 9 AM ET.</t>
  </si>
  <si>
    <t>Weekly low tends to form Friday. Watch 9 AM ET for high/low extremes.</t>
  </si>
  <si>
    <t>Use early-week rally/liquidity pop as sell-confirmation only if Machine remains bearish and structure rejects.</t>
  </si>
  <si>
    <t>Bullish machine</t>
  </si>
  <si>
    <t>Weekly low window: Sunday–Tuesday; top low day Sunday. Primary low hour: 6 PM ET / 18 ET.</t>
  </si>
  <si>
    <t>Weekly high tends to form Friday. 9 AM ET is still the main high-hour.</t>
  </si>
  <si>
    <t>If weekly low is formed early and Machine flips bullish, continuation into Friday is the dominant template.</t>
  </si>
  <si>
    <t>US30 CFD</t>
  </si>
  <si>
    <t>Weekly high window: Sunday–Tuesday; top high day Monday. Top high hour: 9 AM ET.</t>
  </si>
  <si>
    <t>Weekly low tends to form Friday. Watch 9 AM ET and late day for terminal low.</t>
  </si>
  <si>
    <t>This matches your “early-week high → Friday low” bearish tape. Calendar alert should fire Sunday evening through Tuesday 11 AM ET.</t>
  </si>
  <si>
    <t>Weekly low window: Sunday–Tuesday; top low day Monday. Top low hour: 9 AM ET.</t>
  </si>
  <si>
    <t>Weekly high tends to form Friday. Top high hour: 10 AM ET.</t>
  </si>
  <si>
    <t>If Monday sells down into structure while Machine bullish, treat as likely weekly low candidate.</t>
  </si>
  <si>
    <t>SPX / DJI / NDX</t>
  </si>
  <si>
    <t>Bearish weeks overwhelmingly make highs Monday and lows Friday.</t>
  </si>
  <si>
    <t>9 AM ET is the dominant high/low hour across cash indices.</t>
  </si>
  <si>
    <t>Use as confirmation/proxy layer for US30, not a replacement for US30 CFD behavior.</t>
  </si>
  <si>
    <t>Risk confirmation</t>
  </si>
  <si>
    <t>VIX bearish weeks often high Monday and low Friday; VIX bullish weeks high Friday and low Monday.</t>
  </si>
  <si>
    <t>VIX should move opposite risk indices; same-hour correlation to SPX/US30 is negative.</t>
  </si>
  <si>
    <t>Use VIX as a risk-flow confirmation, not a direct entry trigger.</t>
  </si>
  <si>
    <t>MARKET MACHINE BRIEFING v4.7 — WEATHER RADAR FRONT PAGE</t>
  </si>
  <si>
    <t>Compact decision-support briefing: machine environment → primary conflict → timing window → dashboard drill-down. Not a trade signal.</t>
  </si>
  <si>
    <t>Last Refresh</t>
  </si>
  <si>
    <t>Current Environment</t>
  </si>
  <si>
    <t>Historical Alignment</t>
  </si>
  <si>
    <t>Primary Conflict</t>
  </si>
  <si>
    <t>Highest Probability Window</t>
  </si>
  <si>
    <t>Operational Note</t>
  </si>
  <si>
    <t>EVIDENCE STACK</t>
  </si>
  <si>
    <t>Layer</t>
  </si>
  <si>
    <t>Status / Value</t>
  </si>
  <si>
    <t>Score / Weight</t>
  </si>
  <si>
    <t>Source / Drill-Down</t>
  </si>
  <si>
    <t>Signal_Engine</t>
  </si>
  <si>
    <t>FRED_Raw → Signal_Engine</t>
  </si>
  <si>
    <t>Commercials</t>
  </si>
  <si>
    <t>Commercial net change</t>
  </si>
  <si>
    <t>CFTC_Raw → Signal_Engine</t>
  </si>
  <si>
    <t>Noncommercial positioning</t>
  </si>
  <si>
    <t>Calendar tendency</t>
  </si>
  <si>
    <t>Highest probability hours/windows</t>
  </si>
  <si>
    <t>MARKET MACHINE HEALTH CHECK</t>
  </si>
  <si>
    <t>Component</t>
  </si>
  <si>
    <t>Last Update / Latest Date</t>
  </si>
  <si>
    <t>Expected Cadence</t>
  </si>
  <si>
    <t>Source Tab</t>
  </si>
  <si>
    <t>Failure Meaning</t>
  </si>
  <si>
    <t>Next Action</t>
  </si>
  <si>
    <t>Owner</t>
  </si>
  <si>
    <t>FRED Feed</t>
  </si>
  <si>
    <t>Daily / market days</t>
  </si>
  <si>
    <t>Yield feed not updated</t>
  </si>
  <si>
    <t>System</t>
  </si>
  <si>
    <t>CFTC Feed</t>
  </si>
  <si>
    <t>Weekly after CFTC release</t>
  </si>
  <si>
    <t>Positioning feed not updated</t>
  </si>
  <si>
    <t>Signal Engine</t>
  </si>
  <si>
    <t>After feed refresh</t>
  </si>
  <si>
    <t>Machine scores not calculating</t>
  </si>
  <si>
    <t>Inspect Signal_Engine formula errors</t>
  </si>
  <si>
    <t>Live after Signal_Engine update</t>
  </si>
  <si>
    <t>Front read blank</t>
  </si>
  <si>
    <t>Check Dashboard links</t>
  </si>
  <si>
    <t>Timing Layer</t>
  </si>
  <si>
    <t>Static until recalibrated</t>
  </si>
  <si>
    <t>Timing calibration missing</t>
  </si>
  <si>
    <t>Re-run hourly calibration</t>
  </si>
  <si>
    <t>Research</t>
  </si>
  <si>
    <t>Seasonality Layer</t>
  </si>
  <si>
    <t>Seasonality missing</t>
  </si>
  <si>
    <t>Re-run monthly/seasonal calibration</t>
  </si>
  <si>
    <t>Every open / recalculation</t>
  </si>
  <si>
    <t>No briefing output</t>
  </si>
  <si>
    <t>Check selected asset</t>
  </si>
  <si>
    <t>Prompt missing</t>
  </si>
  <si>
    <t>Review prompt template</t>
  </si>
  <si>
    <t>MARKET MACHINE ALERT RULES — CALENDAR / BRIEFING LAYER</t>
  </si>
  <si>
    <t>Timing Window</t>
  </si>
  <si>
    <t>Trigger Logic</t>
  </si>
  <si>
    <t>Briefing Text</t>
  </si>
  <si>
    <t>Delivery Channel</t>
  </si>
  <si>
    <t>Active</t>
  </si>
  <si>
    <t>Morning Weather Briefing</t>
  </si>
  <si>
    <t>ALL</t>
  </si>
  <si>
    <t>Any</t>
  </si>
  <si>
    <t>07:30 ET</t>
  </si>
  <si>
    <t>Daily health check + top machine reads</t>
  </si>
  <si>
    <t>Normal</t>
  </si>
  <si>
    <t>Morning Market Machine briefing ready.</t>
  </si>
  <si>
    <t>Email / Calendar / App</t>
  </si>
  <si>
    <t>Foundation briefing.</t>
  </si>
  <si>
    <t>Early-Week Bearish High Watch</t>
  </si>
  <si>
    <t>Monday–Tuesday 08:30–10:30 ET</t>
  </si>
  <si>
    <t>Machine bearish + timing bearish high window</t>
  </si>
  <si>
    <t>Bearish high-window active. Watch fake reclaim/rejection.</t>
  </si>
  <si>
    <t>Calendar / App</t>
  </si>
  <si>
    <t>Use structure confirmation.</t>
  </si>
  <si>
    <t>US30 bearish high-window active. Watch early-week rally failure.</t>
  </si>
  <si>
    <t>Bullish Weekly Low Watch</t>
  </si>
  <si>
    <t>Sunday evening / Monday morning</t>
  </si>
  <si>
    <t>Machine bullish + low-window alignment</t>
  </si>
  <si>
    <t>Bullish low-window active. Watch early dip/support response.</t>
  </si>
  <si>
    <t>Do not chase if gap stretches.</t>
  </si>
  <si>
    <t>Bullish/Bearish</t>
  </si>
  <si>
    <t>Trend week + timing terminal extreme</t>
  </si>
  <si>
    <t>Medium</t>
  </si>
  <si>
    <t>Friday terminal window. Manage continuation/reversal risk.</t>
  </si>
  <si>
    <t>Pair with weekly sequence.</t>
  </si>
  <si>
    <t>Machine Conflict Watch</t>
  </si>
  <si>
    <t>Mixed</t>
  </si>
  <si>
    <t>Bull and bear points within 15 points</t>
  </si>
  <si>
    <t>Low</t>
  </si>
  <si>
    <t>Mixed machine; wait for cleaner alignment.</t>
  </si>
  <si>
    <t>Dashboard only</t>
  </si>
  <si>
    <t>Avoid forced thesis.</t>
  </si>
  <si>
    <t>Urgent Conviction Shift</t>
  </si>
  <si>
    <t>Final machine reading changes by 2 tiers or conviction &gt; 75/100</t>
  </si>
  <si>
    <t>Urgent</t>
  </si>
  <si>
    <t>Machine conviction shift detected. Review dashboard immediately.</t>
  </si>
  <si>
    <t>App / Email</t>
  </si>
  <si>
    <t>Future</t>
  </si>
  <si>
    <t>Requires log comparison.</t>
  </si>
  <si>
    <t>CFTC Release Refresh</t>
  </si>
  <si>
    <t>Friday evening / Saturday</t>
  </si>
  <si>
    <t>CFTC new report expected</t>
  </si>
  <si>
    <t>Refresh CFTC and review positioning changes.</t>
  </si>
  <si>
    <t>Calendar</t>
  </si>
  <si>
    <t>Weekly maintenance.</t>
  </si>
  <si>
    <t>NOTIFICATION / BRIEFING LOG</t>
  </si>
  <si>
    <t>Timestamp</t>
  </si>
  <si>
    <t>Alert Type</t>
  </si>
  <si>
    <t>Message</t>
  </si>
  <si>
    <t>Delivery Status</t>
  </si>
  <si>
    <t>Sample</t>
  </si>
  <si>
    <t>—</t>
  </si>
  <si>
    <t>Future notifications will append here from Apps Script.</t>
  </si>
  <si>
    <t>Template</t>
  </si>
  <si>
    <t>Do not delete headers.</t>
  </si>
  <si>
    <t>OPTIONAL AI BRIEFING CONTROL — HUMAN-REVIEWED LAYER</t>
  </si>
  <si>
    <t>Setting</t>
  </si>
  <si>
    <t>Value</t>
  </si>
  <si>
    <t>Security</t>
  </si>
  <si>
    <t>Use</t>
  </si>
  <si>
    <t>AI Mode</t>
  </si>
  <si>
    <t>Manual Copy-Paste</t>
  </si>
  <si>
    <t>READY</t>
  </si>
  <si>
    <t>Use AI_Prompt_Builder text manually until API key/Cloud setup is desired.</t>
  </si>
  <si>
    <t>No key stored in sheet by default.</t>
  </si>
  <si>
    <t>Safest / free</t>
  </si>
  <si>
    <t>API Key</t>
  </si>
  <si>
    <t>OFF</t>
  </si>
  <si>
    <t>Do not store sensitive keys in shared sheets. If used later, use Apps Script PropertiesService.</t>
  </si>
  <si>
    <t>Sensitive</t>
  </si>
  <si>
    <t>Optional future</t>
  </si>
  <si>
    <t>Model</t>
  </si>
  <si>
    <t>gpt-5.5-thinking / configurable</t>
  </si>
  <si>
    <t>INFO</t>
  </si>
  <si>
    <t>For future API integration only; sheet works without AI API.</t>
  </si>
  <si>
    <t>N/A</t>
  </si>
  <si>
    <t>Cost Guardrail</t>
  </si>
  <si>
    <t>Daily briefing only</t>
  </si>
  <si>
    <t>Avoid constant API calls; use deterministic formulas first, AI second.</t>
  </si>
  <si>
    <t>Recommended</t>
  </si>
  <si>
    <t>AI Role</t>
  </si>
  <si>
    <t>Market Weather Briefing Editor</t>
  </si>
  <si>
    <t>AI should summarize machine evidence, not invent signals.</t>
  </si>
  <si>
    <t>Companion, not ruler</t>
  </si>
  <si>
    <t>Output Type</t>
  </si>
  <si>
    <t>Briefing + conflict + watch window</t>
  </si>
  <si>
    <t>AI output should mirror Briefing sheet, with stronger language and concise reasoning.</t>
  </si>
  <si>
    <t>AI PROMPT BUILDER — COPY THIS INTO CHATGPT OR FUTURE API CALL</t>
  </si>
  <si>
    <t>Generated Machine Briefing Prompt</t>
  </si>
  <si>
    <t>Future API Note: Apps Script can call an AI API later, but this version keeps AI as an optional human-reviewed layer.</t>
  </si>
  <si>
    <t>ECONOMIC CALENDAR — MANUAL / FUTURE FEED LAYER</t>
  </si>
  <si>
    <t>Time ET</t>
  </si>
  <si>
    <t>Event</t>
  </si>
  <si>
    <t>Currency/Market</t>
  </si>
  <si>
    <t>Expected Impact</t>
  </si>
  <si>
    <t>Actual</t>
  </si>
  <si>
    <t>Machine Interpretation</t>
  </si>
  <si>
    <t>CPI / PCE / FOMC / NFP</t>
  </si>
  <si>
    <t>USD / Indices / Metals</t>
  </si>
  <si>
    <t>Use to override or caution machine read around releases.</t>
  </si>
  <si>
    <t>Manual until reliable feed connected.</t>
  </si>
  <si>
    <t>Treasury auction / Fed speakers</t>
  </si>
  <si>
    <t>Yields</t>
  </si>
  <si>
    <t>Watch real-yield and DXY response.</t>
  </si>
  <si>
    <t>CFTC Release</t>
  </si>
  <si>
    <t>Futures</t>
  </si>
  <si>
    <t>Weekly</t>
  </si>
  <si>
    <t>Run refreshCFTC after release.</t>
  </si>
  <si>
    <t>Friday/Saturday maintenance.</t>
  </si>
  <si>
    <t>APP ROADMAP — FROM SHEETS ENGINE TO BRIEFING APP</t>
  </si>
  <si>
    <t>Tier</t>
  </si>
  <si>
    <t>Objective</t>
  </si>
  <si>
    <t>Current Status</t>
  </si>
  <si>
    <t>Next Implementation</t>
  </si>
  <si>
    <t>Data Needed</t>
  </si>
  <si>
    <t>Output</t>
  </si>
  <si>
    <t>Risk</t>
  </si>
  <si>
    <t>Tier 1</t>
  </si>
  <si>
    <t>Finish calibration datasets</t>
  </si>
  <si>
    <t>Mostly complete</t>
  </si>
  <si>
    <t>Add more hourly/monthly history over time</t>
  </si>
  <si>
    <t>US30/SPX/NAS/VIX/XAG/SI/GC</t>
  </si>
  <si>
    <t>Timing + seasonality constants</t>
  </si>
  <si>
    <t>Small sample bias</t>
  </si>
  <si>
    <t>Tier 2</t>
  </si>
  <si>
    <t>Advanced timing tables</t>
  </si>
  <si>
    <t>Added baseline</t>
  </si>
  <si>
    <t>Add conditional timing by machine state + volatility regime</t>
  </si>
  <si>
    <t>More periods + VIX regimes</t>
  </si>
  <si>
    <t>Best hour/day/window by condition</t>
  </si>
  <si>
    <t>Overfitting</t>
  </si>
  <si>
    <t>Tier 3</t>
  </si>
  <si>
    <t>Machine health panel</t>
  </si>
  <si>
    <t>Added</t>
  </si>
  <si>
    <t>Surface feed state in app front page</t>
  </si>
  <si>
    <t>None</t>
  </si>
  <si>
    <t>PASS/REVIEW status</t>
  </si>
  <si>
    <t>False confidence if stale</t>
  </si>
  <si>
    <t>Tier 4</t>
  </si>
  <si>
    <t>Conviction scoring</t>
  </si>
  <si>
    <t>Track actual outcomes after each briefing</t>
  </si>
  <si>
    <t>Forward test log</t>
  </si>
  <si>
    <t>Conviction calibration curve</t>
  </si>
  <si>
    <t>Unvalidated scores</t>
  </si>
  <si>
    <t>Tier 5</t>
  </si>
  <si>
    <t>AI briefing editor</t>
  </si>
  <si>
    <t>Manual-ready</t>
  </si>
  <si>
    <t>Use prompt builder; API optional later</t>
  </si>
  <si>
    <t>AI API key only if desired</t>
  </si>
  <si>
    <t>Human-readable briefing</t>
  </si>
  <si>
    <t>Cost/key/security</t>
  </si>
  <si>
    <t>Tier 6</t>
  </si>
  <si>
    <t>Automated wake-up briefing</t>
  </si>
  <si>
    <t>Scaffolded</t>
  </si>
  <si>
    <t>Apps Script triggers + email/calendar/app notification</t>
  </si>
  <si>
    <t>Stable master sheet</t>
  </si>
  <si>
    <t>Morning/urgent machine briefings</t>
  </si>
  <si>
    <t>Notification fatigue</t>
  </si>
  <si>
    <t>Tier 7</t>
  </si>
  <si>
    <t>Streamlit/web app face</t>
  </si>
  <si>
    <t>Read Google Sheet as database, display Liner-style app UI</t>
  </si>
  <si>
    <t>Google Sheets API/CSV endpoint</t>
  </si>
  <si>
    <t>Mobile-friendly briefing app</t>
  </si>
  <si>
    <t>Auth/deployment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</si>
</sst>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h:mm"/>
    <numFmt numFmtId="165" formatCode="yyyy-mm-dd"/>
    <numFmt numFmtId="166" formatCode="m/d/yyyy h:mm:ss"/>
    <numFmt numFmtId="167" formatCode="yyyy-mm-dd h:mm:ss"/>
  </numFmts>
  <fonts count="23">
    <font>
      <sz val="11.0"/>
      <color rgb="FF000000"/>
      <name val="Arial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b/>
      <sz val="11.0"/>
      <color rgb="FFFFFFFF"/>
      <name val="Arial"/>
    </font>
    <font>
      <i/>
      <sz val="11.0"/>
      <color rgb="FF111827"/>
      <name val="Carlito"/>
    </font>
    <font>
      <i/>
      <sz val="11.0"/>
      <color rgb="FF111827"/>
      <name val="Arial"/>
    </font>
    <font>
      <b/>
      <i/>
      <sz val="11.0"/>
      <color rgb="FF111827"/>
      <name val="Carlito"/>
    </font>
    <font>
      <sz val="11.0"/>
      <color theme="1"/>
      <name val="Carlito"/>
    </font>
    <font>
      <sz val="11.0"/>
      <color rgb="FF111827"/>
      <name val="Carlito"/>
    </font>
    <font>
      <b/>
      <sz val="11.0"/>
      <color theme="1"/>
      <name val="Carlito"/>
    </font>
    <font>
      <b/>
      <sz val="12.0"/>
      <color rgb="FFFFFFFF"/>
      <name val="Carlito"/>
    </font>
    <font>
      <b/>
      <sz val="11.0"/>
      <color rgb="FF78350F"/>
      <name val="Arial"/>
    </font>
    <font>
      <b/>
      <sz val="11.0"/>
      <color rgb="FF78350F"/>
      <name val="Carlito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color rgb="FF0000FF"/>
      <name val="Arial"/>
      <scheme val="minor"/>
    </font>
    <font>
      <color rgb="FF0000FF"/>
      <name val="Arial"/>
    </font>
    <font>
      <b/>
      <sz val="9.0"/>
      <color rgb="FFFFFFFF"/>
      <name val="Courier New"/>
    </font>
    <font>
      <sz val="9.0"/>
      <color theme="1"/>
      <name val="Courier New"/>
    </font>
    <font>
      <sz val="9.0"/>
      <color rgb="FF000000"/>
      <name val="Courier New"/>
    </font>
    <font>
      <i/>
      <sz val="11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1E293B"/>
        <bgColor rgb="FF1E293B"/>
      </patternFill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3" fontId="3" numFmtId="0" xfId="0" applyAlignment="1" applyFont="1">
      <alignment horizontal="center" shrinkToFit="0" vertical="bottom" wrapText="1"/>
    </xf>
    <xf borderId="0" fillId="4" fontId="4" numFmtId="0" xfId="0" applyAlignment="1" applyFill="1" applyFont="1">
      <alignment horizontal="left" shrinkToFit="0" wrapText="1"/>
    </xf>
    <xf borderId="0" fillId="4" fontId="5" numFmtId="0" xfId="0" applyAlignment="1" applyFont="1">
      <alignment shrinkToFit="0" vertical="bottom" wrapText="0"/>
    </xf>
    <xf borderId="0" fillId="4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5" fontId="8" numFmtId="0" xfId="0" applyAlignment="1" applyFill="1" applyFont="1">
      <alignment shrinkToFit="0" vertical="top" wrapText="1"/>
    </xf>
    <xf borderId="0" fillId="6" fontId="9" numFmtId="0" xfId="0" applyAlignment="1" applyFill="1" applyFont="1">
      <alignment shrinkToFit="0" wrapText="1"/>
    </xf>
    <xf borderId="0" fillId="7" fontId="9" numFmtId="0" xfId="0" applyAlignment="1" applyFill="1" applyFont="1">
      <alignment horizontal="center" shrinkToFit="0" wrapText="1"/>
    </xf>
    <xf borderId="0" fillId="5" fontId="8" numFmtId="14" xfId="0" applyAlignment="1" applyFont="1" applyNumberFormat="1">
      <alignment shrinkToFit="0" vertical="top" wrapText="1"/>
    </xf>
    <xf borderId="0" fillId="2" fontId="2" numFmtId="0" xfId="0" applyAlignment="1" applyFont="1">
      <alignment horizontal="center" shrinkToFit="0" wrapText="1"/>
    </xf>
    <xf borderId="0" fillId="8" fontId="2" numFmtId="0" xfId="0" applyAlignment="1" applyFill="1" applyFont="1">
      <alignment horizontal="center" shrinkToFit="0" wrapText="1"/>
    </xf>
    <xf borderId="0" fillId="3" fontId="10" numFmtId="0" xfId="0" applyAlignment="1" applyFont="1">
      <alignment horizontal="left" vertical="center"/>
    </xf>
    <xf borderId="0" fillId="7" fontId="11" numFmtId="0" xfId="0" applyAlignment="1" applyFont="1">
      <alignment shrinkToFit="0" vertical="bottom" wrapText="1"/>
    </xf>
    <xf borderId="0" fillId="7" fontId="12" numFmtId="0" xfId="0" applyAlignment="1" applyFont="1">
      <alignment shrinkToFit="0" vertical="top" wrapText="1"/>
    </xf>
    <xf borderId="0" fillId="0" fontId="7" numFmtId="9" xfId="0" applyAlignment="1" applyFont="1" applyNumberFormat="1">
      <alignment shrinkToFit="0" wrapText="1"/>
    </xf>
    <xf borderId="0" fillId="9" fontId="3" numFmtId="0" xfId="0" applyAlignment="1" applyFill="1" applyFont="1">
      <alignment horizontal="center" shrinkToFit="0" vertical="bottom" wrapText="0"/>
    </xf>
    <xf borderId="0" fillId="10" fontId="13" numFmtId="0" xfId="0" applyAlignment="1" applyFill="1" applyFont="1">
      <alignment shrinkToFit="0" vertical="bottom" wrapText="0"/>
    </xf>
    <xf borderId="0" fillId="10" fontId="13" numFmtId="1" xfId="0" applyAlignment="1" applyFont="1" applyNumberFormat="1">
      <alignment shrinkToFit="0" vertical="bottom" wrapText="0"/>
    </xf>
    <xf borderId="0" fillId="10" fontId="13" numFmtId="9" xfId="0" applyAlignment="1" applyFont="1" applyNumberFormat="1">
      <alignment shrinkToFit="0" vertical="bottom" wrapText="0"/>
    </xf>
    <xf borderId="0" fillId="9" fontId="2" numFmtId="0" xfId="0" applyAlignment="1" applyFont="1">
      <alignment horizontal="center" shrinkToFit="0" wrapText="1"/>
    </xf>
    <xf borderId="0" fillId="11" fontId="2" numFmtId="0" xfId="0" applyAlignment="1" applyFill="1" applyFont="1">
      <alignment horizontal="center" shrinkToFit="0" wrapText="1"/>
    </xf>
    <xf borderId="0" fillId="11" fontId="2" numFmtId="9" xfId="0" applyAlignment="1" applyFont="1" applyNumberFormat="1">
      <alignment horizontal="center" shrinkToFit="0" wrapText="1"/>
    </xf>
    <xf borderId="0" fillId="0" fontId="7" numFmtId="3" xfId="0" applyAlignment="1" applyFont="1" applyNumberFormat="1">
      <alignment shrinkToFit="0" wrapText="1"/>
    </xf>
    <xf borderId="0" fillId="0" fontId="7" numFmtId="2" xfId="0" applyAlignment="1" applyFont="1" applyNumberFormat="1">
      <alignment shrinkToFit="0" wrapText="1"/>
    </xf>
    <xf borderId="0" fillId="9" fontId="2" numFmtId="0" xfId="0" applyAlignment="1" applyFont="1">
      <alignment shrinkToFit="0" vertical="center" wrapText="1"/>
    </xf>
    <xf borderId="0" fillId="3" fontId="2" numFmtId="9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 shrinkToFit="0" vertical="center" wrapText="1"/>
    </xf>
    <xf borderId="0" fillId="0" fontId="7" numFmtId="164" xfId="0" applyFont="1" applyNumberFormat="1"/>
    <xf borderId="0" fillId="0" fontId="14" numFmtId="0" xfId="0" applyFont="1"/>
    <xf borderId="0" fillId="0" fontId="14" numFmtId="9" xfId="0" applyFont="1" applyNumberFormat="1"/>
    <xf borderId="0" fillId="0" fontId="14" numFmtId="164" xfId="0" applyFont="1" applyNumberFormat="1"/>
    <xf borderId="0" fillId="0" fontId="14" numFmtId="0" xfId="0" applyAlignment="1" applyFont="1">
      <alignment shrinkToFit="0" wrapText="1"/>
    </xf>
    <xf borderId="0" fillId="0" fontId="13" numFmtId="0" xfId="0" applyAlignment="1" applyFont="1">
      <alignment shrinkToFit="0" vertical="bottom" wrapText="1"/>
    </xf>
    <xf borderId="0" fillId="9" fontId="2" numFmtId="10" xfId="0" applyAlignment="1" applyFont="1" applyNumberFormat="1">
      <alignment horizontal="center" shrinkToFit="0" wrapText="1"/>
    </xf>
    <xf borderId="0" fillId="0" fontId="14" numFmtId="10" xfId="0" applyAlignment="1" applyFont="1" applyNumberFormat="1">
      <alignment shrinkToFit="0" wrapText="1"/>
    </xf>
    <xf borderId="0" fillId="0" fontId="13" numFmtId="10" xfId="0" applyAlignment="1" applyFont="1" applyNumberFormat="1">
      <alignment shrinkToFit="0" vertical="bottom" wrapText="1"/>
    </xf>
    <xf borderId="0" fillId="2" fontId="2" numFmtId="0" xfId="0" applyAlignment="1" applyFont="1">
      <alignment horizontal="center"/>
    </xf>
    <xf borderId="0" fillId="0" fontId="15" numFmtId="0" xfId="0" applyFont="1"/>
    <xf borderId="0" fillId="3" fontId="2" numFmtId="0" xfId="0" applyAlignment="1" applyFont="1">
      <alignment horizontal="left" shrinkToFit="0" vertical="center" wrapText="1"/>
    </xf>
    <xf borderId="0" fillId="9" fontId="2" numFmtId="0" xfId="0" applyAlignment="1" applyFont="1">
      <alignment horizontal="center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3" fontId="10" numFmtId="0" xfId="0" applyAlignment="1" applyFont="1">
      <alignment horizontal="left" shrinkToFit="0" vertical="center" wrapText="1"/>
    </xf>
    <xf borderId="0" fillId="0" fontId="14" numFmtId="165" xfId="0" applyFont="1" applyNumberFormat="1"/>
    <xf borderId="0" fillId="0" fontId="14" numFmtId="166" xfId="0" applyFont="1" applyNumberFormat="1"/>
    <xf borderId="0" fillId="0" fontId="16" numFmtId="0" xfId="0" applyAlignment="1" applyFont="1">
      <alignment shrinkToFit="0" vertical="bottom" wrapText="0"/>
    </xf>
    <xf borderId="0" fillId="0" fontId="14" numFmtId="167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14" numFmtId="1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4" numFmtId="167" xfId="0" applyFont="1" applyNumberFormat="1"/>
    <xf borderId="0" fillId="0" fontId="14" numFmtId="14" xfId="0" applyFont="1" applyNumberFormat="1"/>
    <xf borderId="0" fillId="0" fontId="18" numFmtId="0" xfId="0" applyFont="1"/>
    <xf borderId="0" fillId="9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shrinkToFit="0" wrapText="0"/>
    </xf>
    <xf borderId="0" fillId="0" fontId="21" numFmtId="0" xfId="0" applyAlignment="1" applyFont="1">
      <alignment shrinkToFit="0" vertical="bottom" wrapText="0"/>
    </xf>
    <xf borderId="0" fillId="9" fontId="10" numFmtId="0" xfId="0" applyAlignment="1" applyFont="1">
      <alignment horizontal="left" shrinkToFit="0" vertical="center" wrapText="1"/>
    </xf>
    <xf borderId="0" fillId="11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9" fontId="3" numFmtId="0" xfId="0" applyAlignment="1" applyFont="1">
      <alignment horizontal="center" shrinkToFit="0" vertical="bottom" wrapText="1"/>
    </xf>
    <xf borderId="0" fillId="0" fontId="13" numFmtId="165" xfId="0" applyAlignment="1" applyFont="1" applyNumberFormat="1">
      <alignment shrinkToFit="0" vertical="bottom" wrapText="1"/>
    </xf>
    <xf borderId="0" fillId="0" fontId="13" numFmtId="3" xfId="0" applyAlignment="1" applyFont="1" applyNumberFormat="1">
      <alignment shrinkToFit="0" vertical="bottom" wrapText="1"/>
    </xf>
    <xf borderId="0" fillId="0" fontId="13" numFmtId="2" xfId="0" applyAlignment="1" applyFont="1" applyNumberFormat="1">
      <alignment shrinkToFit="0" vertical="bottom" wrapText="1"/>
    </xf>
    <xf borderId="0" fillId="0" fontId="13" numFmtId="9" xfId="0" applyAlignment="1" applyFont="1" applyNumberFormat="1">
      <alignment shrinkToFit="0" vertical="bottom" wrapText="1"/>
    </xf>
    <xf borderId="0" fillId="0" fontId="13" numFmtId="166" xfId="0" applyAlignment="1" applyFont="1" applyNumberFormat="1">
      <alignment shrinkToFit="0" vertical="bottom" wrapText="1"/>
    </xf>
    <xf borderId="0" fillId="0" fontId="13" numFmtId="1" xfId="0" applyAlignment="1" applyFont="1" applyNumberFormat="1">
      <alignment shrinkToFit="0" vertical="bottom" wrapText="0"/>
    </xf>
    <xf borderId="0" fillId="0" fontId="13" numFmtId="9" xfId="0" applyAlignment="1" applyFont="1" applyNumberFormat="1">
      <alignment shrinkToFit="0" vertical="bottom" wrapText="0"/>
    </xf>
    <xf borderId="0" fillId="9" fontId="3" numFmtId="0" xfId="0" applyAlignment="1" applyFont="1">
      <alignment shrinkToFit="0" vertical="bottom" wrapText="1"/>
    </xf>
    <xf borderId="0" fillId="9" fontId="3" numFmtId="0" xfId="0" applyAlignment="1" applyFont="1">
      <alignment horizontal="center" shrinkToFit="0" vertical="center" wrapText="1"/>
    </xf>
    <xf borderId="0" fillId="11" fontId="22" numFmtId="0" xfId="0" applyAlignment="1" applyFont="1">
      <alignment shrinkToFit="0" vertical="bottom" wrapText="0"/>
    </xf>
    <xf borderId="0" fillId="4" fontId="16" numFmtId="164" xfId="0" applyAlignment="1" applyFont="1" applyNumberFormat="1">
      <alignment shrinkToFit="0" vertical="bottom" wrapText="0"/>
    </xf>
    <xf borderId="0" fillId="5" fontId="13" numFmtId="0" xfId="0" applyAlignment="1" applyFont="1">
      <alignment shrinkToFit="0" vertical="bottom" wrapText="0"/>
    </xf>
    <xf borderId="0" fillId="4" fontId="16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3" fontId="3" numFmtId="164" xfId="0" applyAlignment="1" applyFont="1" applyNumberFormat="1">
      <alignment horizontal="left" shrinkToFit="0" vertical="center" wrapText="1"/>
    </xf>
    <xf borderId="0" fillId="9" fontId="3" numFmtId="164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shrinkToFit="0" vertical="bottom" wrapText="1"/>
    </xf>
    <xf borderId="0" fillId="0" fontId="13" numFmtId="166" xfId="0" applyAlignment="1" applyFont="1" applyNumberFormat="1">
      <alignment shrinkToFit="0" vertical="bottom" wrapText="1"/>
    </xf>
    <xf borderId="0" fillId="3" fontId="3" numFmtId="0" xfId="0" applyAlignment="1" applyFont="1">
      <alignment horizontal="left" shrinkToFit="0" vertical="center" wrapText="1"/>
    </xf>
    <xf borderId="0" fillId="7" fontId="13" numFmtId="0" xfId="0" applyAlignment="1" applyFont="1">
      <alignment shrinkToFit="0" vertical="bottom" wrapText="1"/>
    </xf>
  </cellXfs>
  <cellStyles count="1">
    <cellStyle xfId="0" name="Normal" builtinId="0"/>
  </cellStyles>
  <dxfs count="10">
    <dxf>
      <font>
        <b/>
        <color rgb="FF7F1D1D"/>
      </font>
      <fill>
        <patternFill patternType="solid">
          <fgColor rgb="FFFEE2E2"/>
          <bgColor rgb="FFFEE2E2"/>
        </patternFill>
      </fill>
      <border/>
    </dxf>
    <dxf>
      <font>
        <b/>
        <color rgb="FF14532D"/>
      </font>
      <fill>
        <patternFill patternType="solid">
          <fgColor rgb="FFDCFCE7"/>
          <bgColor rgb="FFDCFCE7"/>
        </patternFill>
      </fill>
      <border/>
    </dxf>
    <dxf>
      <font>
        <b/>
        <color rgb="FF713F12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7F1D1D"/>
      </font>
      <fill>
        <patternFill patternType="solid">
          <fgColor rgb="FFFECACA"/>
          <bgColor rgb="FFFECACA"/>
        </patternFill>
      </fill>
      <border/>
    </dxf>
    <dxf>
      <font>
        <b/>
        <color rgb="FF78350F"/>
      </font>
      <fill>
        <patternFill patternType="solid">
          <fgColor rgb="FFFEF3C7"/>
          <bgColor rgb="FFFEF3C7"/>
        </patternFill>
      </fill>
      <border/>
    </dxf>
    <dxf>
      <font>
        <b/>
        <color rgb="FFFFFFFF"/>
      </font>
      <fill>
        <patternFill patternType="solid">
          <fgColor rgb="FF7F1D1D"/>
          <bgColor rgb="FF7F1D1D"/>
        </patternFill>
      </fill>
      <border/>
    </dxf>
    <dxf>
      <font>
        <b/>
        <color rgb="FF1E3A8A"/>
      </font>
      <fill>
        <patternFill patternType="solid">
          <fgColor rgb="FFDBEAFE"/>
          <bgColor rgb="FFDBEAF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0"/>
    <col customWidth="1" min="4" max="4" width="28.0"/>
    <col customWidth="1" min="5" max="5" width="18.0"/>
    <col customWidth="1" min="6" max="6" width="38.0"/>
    <col customWidth="1" min="7" max="7" width="18.0"/>
    <col customWidth="1" min="8" max="8" width="28.0"/>
    <col customWidth="1" min="9" max="18" width="18.0"/>
    <col customWidth="1" min="19" max="26" width="8.75"/>
  </cols>
  <sheetData>
    <row r="1">
      <c r="A1" s="1" t="s">
        <v>0</v>
      </c>
      <c r="J1" s="1"/>
      <c r="K1" s="2" t="s">
        <v>1</v>
      </c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5" t="s">
        <v>2</v>
      </c>
      <c r="J2" s="6"/>
      <c r="K2" s="7" t="s">
        <v>3</v>
      </c>
      <c r="L2" s="7" t="s">
        <v>4</v>
      </c>
      <c r="M2" s="7" t="s">
        <v>5</v>
      </c>
      <c r="N2" s="7" t="s">
        <v>6</v>
      </c>
      <c r="O2" s="7" t="s">
        <v>7</v>
      </c>
      <c r="P2" s="7" t="s">
        <v>8</v>
      </c>
      <c r="Q2" s="7" t="s">
        <v>9</v>
      </c>
      <c r="R2" s="7" t="s">
        <v>10</v>
      </c>
    </row>
    <row r="3">
      <c r="A3" s="8"/>
      <c r="B3" s="8"/>
      <c r="C3" s="8"/>
      <c r="D3" s="8"/>
      <c r="E3" s="8"/>
      <c r="F3" s="8"/>
      <c r="G3" s="8"/>
      <c r="H3" s="8"/>
      <c r="I3" s="8"/>
      <c r="K3" s="9" t="s">
        <v>11</v>
      </c>
      <c r="L3" s="9" t="s">
        <v>12</v>
      </c>
      <c r="M3" s="9" t="str">
        <f t="array" ref="M3">IFERROR(INDEX(Live_Inputs!$D$2:$D$20,MATCH($B$4&amp;"|DXY",Live_Inputs!$A$2:$A$20&amp;"|"&amp;Live_Inputs!$B$2:$B$20,0)),"Manual")</f>
        <v>Bearish</v>
      </c>
      <c r="N3" s="9" t="str">
        <f t="array" ref="N3">IFERROR(INDEX(Live_Inputs!$E$2:$E$20,MATCH($B$4&amp;"|DXY",Live_Inputs!$A$2:$A$20&amp;"|"&amp;Live_Inputs!$B$2:$B$20,0)),"—")</f>
        <v>Manual</v>
      </c>
      <c r="O3" s="9" t="str">
        <f t="array" ref="O3">IFERROR(INDEX(Live_Inputs!$F$2:$F$20,MATCH($B$4&amp;"|DXY",Live_Inputs!$A$2:$A$20&amp;"|"&amp;Live_Inputs!$B$2:$B$20,0)),"—")</f>
        <v>Manual</v>
      </c>
      <c r="P3" s="9" t="s">
        <v>13</v>
      </c>
      <c r="Q3" s="9" t="s">
        <v>14</v>
      </c>
      <c r="R3" s="9" t="s">
        <v>15</v>
      </c>
    </row>
    <row r="4">
      <c r="A4" s="10" t="s">
        <v>16</v>
      </c>
      <c r="B4" s="11" t="s">
        <v>17</v>
      </c>
      <c r="C4" s="8"/>
      <c r="D4" s="8"/>
      <c r="E4" s="8"/>
      <c r="F4" s="8"/>
      <c r="G4" s="8"/>
      <c r="H4" s="8"/>
      <c r="I4" s="8"/>
      <c r="K4" s="9" t="s">
        <v>18</v>
      </c>
      <c r="L4" s="9" t="s">
        <v>19</v>
      </c>
      <c r="M4" s="9" t="str">
        <f>IF(Live_Inputs!$D$3&lt;&gt;"",Live_Inputs!$D$3,"Manual")</f>
        <v>Bearish</v>
      </c>
      <c r="N4" s="9">
        <f>IF(Live_Inputs!$E$3&lt;&gt;"",Live_Inputs!$E$3,"—")</f>
        <v>2.11</v>
      </c>
      <c r="O4" s="12">
        <f>IF(Live_Inputs!$F$3&lt;&gt;"",Live_Inputs!$F$3,"—")</f>
        <v>46180.55323</v>
      </c>
      <c r="P4" s="9" t="s">
        <v>20</v>
      </c>
      <c r="Q4" s="9" t="s">
        <v>21</v>
      </c>
      <c r="R4" s="9" t="s">
        <v>22</v>
      </c>
    </row>
    <row r="5">
      <c r="A5" s="8"/>
      <c r="B5" s="8"/>
      <c r="C5" s="8"/>
      <c r="D5" s="8"/>
      <c r="E5" s="8"/>
      <c r="F5" s="8"/>
      <c r="G5" s="8"/>
      <c r="H5" s="8"/>
      <c r="I5" s="8"/>
      <c r="K5" s="9" t="s">
        <v>23</v>
      </c>
      <c r="L5" s="9" t="s">
        <v>24</v>
      </c>
      <c r="M5" s="9" t="str">
        <f t="array" ref="M5">IFERROR(INDEX(Live_Inputs!$D$2:$D$20,MATCH($B$4&amp;"|Managed Money",Live_Inputs!$A$2:$A$20&amp;"|"&amp;Live_Inputs!$B$2:$B$20,0)),"Manual")</f>
        <v>Bullish</v>
      </c>
      <c r="N5" s="9">
        <f t="array" ref="N5">IFERROR(INDEX(Live_Inputs!$E$2:$E$20,MATCH($B$4&amp;"|Managed Money",Live_Inputs!$A$2:$A$20&amp;"|"&amp;Live_Inputs!$B$2:$B$20,0)),"—")</f>
        <v>23926</v>
      </c>
      <c r="O5" s="9">
        <f t="array" ref="O5">IFERROR(INDEX(Live_Inputs!$F$2:$F$20,MATCH($B$4&amp;"|Managed Money",Live_Inputs!$A$2:$A$20&amp;"|"&amp;Live_Inputs!$B$2:$B$20,0)),"—")</f>
        <v>46175</v>
      </c>
      <c r="P5" s="9" t="s">
        <v>25</v>
      </c>
      <c r="Q5" s="9" t="s">
        <v>26</v>
      </c>
      <c r="R5" s="9" t="s">
        <v>27</v>
      </c>
    </row>
    <row r="6">
      <c r="A6" s="13" t="s">
        <v>28</v>
      </c>
      <c r="B6" s="13"/>
      <c r="C6" s="13"/>
      <c r="D6" s="13"/>
      <c r="E6" s="13"/>
      <c r="F6" s="13"/>
      <c r="G6" s="13"/>
      <c r="H6" s="13"/>
      <c r="I6" s="13"/>
      <c r="K6" s="9" t="s">
        <v>29</v>
      </c>
      <c r="L6" s="9" t="s">
        <v>30</v>
      </c>
      <c r="M6" s="9" t="str">
        <f t="array" ref="M6">IFERROR(INDEX(Live_Inputs!$D$2:$D$20,MATCH($B$4&amp;"|Open Interest",Live_Inputs!$A$2:$A$20&amp;"|"&amp;Live_Inputs!$B$2:$B$20,0)),"Manual")</f>
        <v>Bullish</v>
      </c>
      <c r="N6" s="9">
        <f t="array" ref="N6">IFERROR(INDEX(Live_Inputs!$E$2:$E$20,MATCH($B$4&amp;"|Open Interest",Live_Inputs!$A$2:$A$20&amp;"|"&amp;Live_Inputs!$B$2:$B$20,0)),"—")</f>
        <v>102809</v>
      </c>
      <c r="O6" s="9">
        <f t="array" ref="O6">IFERROR(INDEX(Live_Inputs!$F$2:$F$20,MATCH($B$4&amp;"|Open Interest",Live_Inputs!$A$2:$A$20&amp;"|"&amp;Live_Inputs!$B$2:$B$20,0)),"—")</f>
        <v>46175</v>
      </c>
      <c r="P6" s="9" t="s">
        <v>25</v>
      </c>
      <c r="Q6" s="9" t="s">
        <v>31</v>
      </c>
      <c r="R6" s="9" t="s">
        <v>27</v>
      </c>
    </row>
    <row r="7">
      <c r="A7" s="14" t="s">
        <v>32</v>
      </c>
      <c r="B7" s="14" t="s">
        <v>5</v>
      </c>
      <c r="C7" s="14" t="s">
        <v>33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9</v>
      </c>
      <c r="I7" s="14"/>
    </row>
    <row r="8">
      <c r="A8" s="8" t="s">
        <v>38</v>
      </c>
      <c r="B8" s="8" t="str">
        <f t="array" ref="B8">IFERROR(XLOOKUP($B$4,Signal_Engine!$A:$A,Signal_Engine!$U:$U),"Neutral")</f>
        <v>Neutral</v>
      </c>
      <c r="C8" s="8">
        <f t="array" ref="C8">INDEX(Machine_Input!$G$2:$G$51,MATCH($B$4,Machine_Input!$B$2:$B$51,0))</f>
        <v>0.3</v>
      </c>
      <c r="D8" s="8" t="str">
        <f t="shared" ref="D8:D11" si="1">IF($B8="Bullish","✓","")</f>
        <v/>
      </c>
      <c r="E8" s="8" t="str">
        <f t="shared" ref="E8:E11" si="2">IF($B8="Bearish","✓","")</f>
        <v/>
      </c>
      <c r="F8" s="8" t="str">
        <f t="shared" ref="F8:F11" si="3">IF($B8="Neutral","✓","")</f>
        <v>✓</v>
      </c>
      <c r="G8" s="8" t="s">
        <v>39</v>
      </c>
      <c r="H8" s="8" t="s">
        <v>40</v>
      </c>
      <c r="I8" s="8"/>
      <c r="K8" s="15" t="s">
        <v>41</v>
      </c>
    </row>
    <row r="9">
      <c r="A9" s="8" t="s">
        <v>18</v>
      </c>
      <c r="B9" s="8" t="str">
        <f t="array" ref="B9">IFERROR(XLOOKUP($B$4,Signal_Engine!$A:$A,Signal_Engine!$Q:$Q),"Neutral")</f>
        <v>Neutral</v>
      </c>
      <c r="C9" s="8">
        <f t="array" ref="C9">INDEX(Machine_Input!$H$2:$H$51,MATCH($B$4,Machine_Input!$B$2:$B$51,0))</f>
        <v>0.3</v>
      </c>
      <c r="D9" s="8" t="str">
        <f t="shared" si="1"/>
        <v/>
      </c>
      <c r="E9" s="8" t="str">
        <f t="shared" si="2"/>
        <v/>
      </c>
      <c r="F9" s="8" t="str">
        <f t="shared" si="3"/>
        <v>✓</v>
      </c>
      <c r="G9" s="8" t="s">
        <v>42</v>
      </c>
      <c r="H9" s="8" t="s">
        <v>40</v>
      </c>
      <c r="I9" s="8"/>
      <c r="K9" s="9" t="s">
        <v>43</v>
      </c>
      <c r="L9" s="9"/>
      <c r="M9" s="9"/>
      <c r="N9" s="9"/>
      <c r="O9" s="9"/>
      <c r="P9" s="9"/>
      <c r="Q9" s="9"/>
      <c r="R9" s="9"/>
    </row>
    <row r="10">
      <c r="A10" s="8" t="s">
        <v>23</v>
      </c>
      <c r="B10" s="8" t="str">
        <f t="array" ref="B10">IFERROR(XLOOKUP($B$4,Signal_Engine!$A:$A,Signal_Engine!$R:$R),"Neutral")</f>
        <v>Bullish</v>
      </c>
      <c r="C10" s="8">
        <f t="array" ref="C10">INDEX(Machine_Input!$I$2:$I$51,MATCH($B$4,Machine_Input!$B$2:$B$51,0))</f>
        <v>0.25</v>
      </c>
      <c r="D10" s="8" t="str">
        <f t="shared" si="1"/>
        <v>✓</v>
      </c>
      <c r="E10" s="8" t="str">
        <f t="shared" si="2"/>
        <v/>
      </c>
      <c r="F10" s="8" t="str">
        <f t="shared" si="3"/>
        <v/>
      </c>
      <c r="G10" s="8" t="s">
        <v>44</v>
      </c>
      <c r="H10" s="8" t="s">
        <v>40</v>
      </c>
      <c r="I10" s="8"/>
      <c r="K10" s="9" t="s">
        <v>45</v>
      </c>
      <c r="L10" s="9"/>
      <c r="M10" s="9"/>
      <c r="N10" s="9"/>
      <c r="O10" s="9"/>
      <c r="P10" s="9"/>
      <c r="Q10" s="9"/>
      <c r="R10" s="9"/>
    </row>
    <row r="11">
      <c r="A11" s="8" t="s">
        <v>29</v>
      </c>
      <c r="B11" s="8" t="str">
        <f t="array" ref="B11">IFERROR(XLOOKUP($B$4,Signal_Engine!$A:$A,Signal_Engine!$T:$T),"Neutral")</f>
        <v>Neutral</v>
      </c>
      <c r="C11" s="8">
        <f t="array" ref="C11">INDEX(Machine_Input!$J$2:$J$51,MATCH($B$4,Machine_Input!$B$2:$B$51,0))</f>
        <v>0.15</v>
      </c>
      <c r="D11" s="8" t="str">
        <f t="shared" si="1"/>
        <v/>
      </c>
      <c r="E11" s="8" t="str">
        <f t="shared" si="2"/>
        <v/>
      </c>
      <c r="F11" s="8" t="str">
        <f t="shared" si="3"/>
        <v>✓</v>
      </c>
      <c r="G11" s="8" t="s">
        <v>46</v>
      </c>
      <c r="H11" s="8" t="s">
        <v>40</v>
      </c>
      <c r="I11" s="8"/>
      <c r="K11" s="9" t="s">
        <v>47</v>
      </c>
      <c r="L11" s="9" t="s">
        <v>48</v>
      </c>
      <c r="M11" s="9"/>
      <c r="N11" s="9"/>
      <c r="O11" s="9"/>
      <c r="P11" s="9"/>
      <c r="Q11" s="9"/>
      <c r="R11" s="9"/>
    </row>
    <row r="12">
      <c r="A12" s="8"/>
      <c r="B12" s="8"/>
      <c r="C12" s="8"/>
      <c r="D12" s="8"/>
      <c r="E12" s="8"/>
      <c r="F12" s="8"/>
      <c r="G12" s="8"/>
      <c r="H12" s="8"/>
      <c r="I12" s="8"/>
      <c r="J12" s="16"/>
      <c r="K12" s="17"/>
      <c r="L12" s="17"/>
      <c r="M12" s="17"/>
      <c r="N12" s="17"/>
      <c r="O12" s="17"/>
      <c r="P12" s="17"/>
      <c r="Q12" s="17"/>
      <c r="R12" s="17"/>
    </row>
    <row r="13">
      <c r="A13" s="8" t="s">
        <v>49</v>
      </c>
      <c r="B13" s="18">
        <f t="array" ref="B13">IFERROR(XLOOKUP($B$4,Signal_Engine!$A:$A,Signal_Engine!$V:$V),0)</f>
        <v>1</v>
      </c>
      <c r="C13" s="18" t="s">
        <v>50</v>
      </c>
      <c r="D13" s="18">
        <f t="array" ref="D13">IFERROR(XLOOKUP($B$4,Signal_Engine!$A:$A,Signal_Engine!$W:$W),0)</f>
        <v>0</v>
      </c>
      <c r="E13" s="8" t="s">
        <v>51</v>
      </c>
      <c r="F13" s="8">
        <f t="array" ref="F13">IFERROR(XLOOKUP($B$4,Signal_Engine!$A:$A,Signal_Engine!$X:$X),0)</f>
        <v>3</v>
      </c>
      <c r="G13" s="8"/>
      <c r="H13" s="8"/>
      <c r="I13" s="8"/>
      <c r="K13" s="19" t="s">
        <v>52</v>
      </c>
      <c r="L13" s="19"/>
      <c r="M13" s="19"/>
      <c r="N13" s="19"/>
    </row>
    <row r="14">
      <c r="A14" s="8" t="s">
        <v>53</v>
      </c>
      <c r="B14" s="18">
        <f t="array" ref="B14">IFERROR(XLOOKUP($B$4,Signal_Engine!$A:$A,Signal_Engine!$AQ:$AQ),0)</f>
        <v>0.06451612903</v>
      </c>
      <c r="C14" s="18" t="s">
        <v>54</v>
      </c>
      <c r="D14" s="18">
        <f t="array" ref="D14">IFERROR(XLOOKUP($B$4,Signal_Engine!$A:$A,Signal_Engine!$AR:$AR),0)</f>
        <v>0.06451612903</v>
      </c>
      <c r="E14" s="8" t="s">
        <v>55</v>
      </c>
      <c r="F14" s="18">
        <f t="array" ref="F14">IFERROR(XLOOKUP($B$4,Signal_Engine!$A:$A,Signal_Engine!$AS:$AS),0)</f>
        <v>0.8709677419</v>
      </c>
      <c r="G14" s="8"/>
      <c r="H14" s="8"/>
      <c r="I14" s="8"/>
      <c r="K14" s="20" t="s">
        <v>56</v>
      </c>
      <c r="L14" s="21">
        <f t="array" ref="L14">IFERROR(XLOOKUP($B$4,Signal_Engine!$A:$A,Signal_Engine!$AN:$AN),0)</f>
        <v>10</v>
      </c>
      <c r="M14" s="21" t="s">
        <v>57</v>
      </c>
      <c r="N14" s="21">
        <f t="array" ref="N14">IFERROR(XLOOKUP($B$4,Signal_Engine!$A:$A,Signal_Engine!$AO:$AO),0)</f>
        <v>10</v>
      </c>
    </row>
    <row r="15">
      <c r="A15" s="8" t="s">
        <v>58</v>
      </c>
      <c r="B15" s="8" t="str">
        <f t="array" ref="B15">IFERROR(XLOOKUP($B$4,Signal_Engine!$A:$A,Signal_Engine!$AT:$AT),"Neutral / Mixed")</f>
        <v>Neutral / Mixed</v>
      </c>
      <c r="C15" s="8" t="s">
        <v>59</v>
      </c>
      <c r="D15" s="8" t="str">
        <f t="array" ref="D15">IFERROR(XLOOKUP($B$4,Signal_Engine!$A:$A,Signal_Engine!$AU:$AU),"")</f>
        <v>Pts → Bull 10 | Bear 10 | Neutral 135 || Commercial -1,768 (-10) | NonComm 2,406 (10) | OI -17,080 (0) | DXY Neutral (0) | RealYield Neutral (0)</v>
      </c>
      <c r="E15" s="8" t="s">
        <v>60</v>
      </c>
      <c r="F15" s="8" t="str">
        <f t="array" ref="F15">IF(B15="Strong Bearish","High-conviction bearish machine pressure.",IF(B15="Strong Bullish","High-conviction bullish machine pressure.",IF(B15="Bearish","Bearish machine pressure outweighs bullish evidence.",IF(B15="Bullish","Bullish machine pressure outweighs bearish evidence.",IF(B15="Moderate Bearish","Moderate bearish skew; confirm with structure/timing.",IF(B15="Moderate Bullish","Moderate bullish skew; confirm with structure/timing.","Mixed machine; wait for cleaner alignment."))))))</f>
        <v>Mixed machine; wait for cleaner alignment.</v>
      </c>
      <c r="G15" s="8"/>
      <c r="H15" s="8"/>
      <c r="I15" s="8"/>
      <c r="K15" s="20" t="s">
        <v>61</v>
      </c>
      <c r="L15" s="21">
        <f t="array" ref="L15">IFERROR(XLOOKUP($B$4,Signal_Engine!$A:$A,Signal_Engine!$AP:$AP),0)</f>
        <v>135</v>
      </c>
      <c r="M15" s="21" t="s">
        <v>62</v>
      </c>
      <c r="N15" s="22">
        <f>MAX(L14,N14)/155</f>
        <v>0.06451612903</v>
      </c>
    </row>
    <row r="16">
      <c r="A16" s="13"/>
      <c r="B16" s="13"/>
      <c r="C16" s="13"/>
      <c r="D16" s="13"/>
      <c r="E16" s="13"/>
      <c r="F16" s="13"/>
      <c r="G16" s="13"/>
      <c r="H16" s="13"/>
      <c r="I16" s="13"/>
      <c r="K16" s="20" t="s">
        <v>63</v>
      </c>
      <c r="L16" s="20" t="str">
        <f>B15</f>
        <v>Neutral / Mixed</v>
      </c>
      <c r="M16" s="20"/>
      <c r="N16" s="20"/>
    </row>
    <row r="17">
      <c r="A17" s="13" t="s">
        <v>64</v>
      </c>
      <c r="B17" s="13"/>
      <c r="C17" s="13"/>
      <c r="D17" s="13"/>
      <c r="E17" s="13"/>
      <c r="F17" s="13"/>
      <c r="G17" s="13"/>
      <c r="H17" s="13"/>
      <c r="I17" s="13"/>
      <c r="K17" s="20" t="s">
        <v>65</v>
      </c>
      <c r="L17" s="20" t="str">
        <f>D15</f>
        <v>Pts → Bull 10 | Bear 10 | Neutral 135 || Commercial -1,768 (-10) | NonComm 2,406 (10) | OI -17,080 (0) | DXY Neutral (0) | RealYield Neutral (0)</v>
      </c>
    </row>
    <row r="18">
      <c r="A18" s="14" t="s">
        <v>66</v>
      </c>
      <c r="B18" s="14" t="s">
        <v>67</v>
      </c>
      <c r="C18" s="14" t="s">
        <v>68</v>
      </c>
      <c r="D18" s="14" t="s">
        <v>69</v>
      </c>
      <c r="E18" s="14" t="s">
        <v>70</v>
      </c>
      <c r="F18" s="14" t="s">
        <v>4</v>
      </c>
      <c r="G18" s="14" t="s">
        <v>71</v>
      </c>
      <c r="H18" s="14"/>
      <c r="I18" s="14"/>
    </row>
    <row r="19">
      <c r="A19" s="8" t="str">
        <f>TEXT(TODAY(),"mmmm")</f>
        <v>June</v>
      </c>
      <c r="B19" s="8" t="str">
        <f t="array" ref="B19">IFERROR(INDEX(Seasonality!$D$2:$D$200,MATCH(1,(Seasonality!$A$2:$A$200=$B$4)*(Seasonality!$B$2:$B$200=A19),0)),"Neutral")</f>
        <v>Bearish</v>
      </c>
      <c r="C19" s="8" t="str">
        <f t="array" ref="C19">IFERROR(INDEX(Seasonality!$E$2:$E$200,MATCH(1,(Seasonality!$A$2:$A$200=$B$4)*(Seasonality!$B$2:$B$200=A19),0)),"Weak")</f>
        <v>Strong</v>
      </c>
      <c r="D19" s="8" t="str">
        <f t="array" ref="D19">IFERROR(INDEX(Seasonality!$F$2:$F$200,MATCH(1,(Seasonality!$A$2:$A$200=$B$4)*(Seasonality!$B$2:$B$200=A19),0)),"Add seasonal stats")</f>
        <v>Samples 4 | Win 25.0% | Avg range 11.7%</v>
      </c>
      <c r="E19" s="8" t="str">
        <f>IF(AND(B19="Bullish",OR($B$15="Bearish",$B$15="Strong Bearish",$B$15="Moderate Bearish")),"Conflict: bullish seasonality vs bearish machine",IF(AND(B19="Bearish",OR($B$15="Bullish",$B$15="Strong Bullish",$B$15="Moderate Bullish")),"Conflict: bearish seasonality vs bullish machine","Aligned / Neutral"))</f>
        <v>Aligned / Neutral</v>
      </c>
      <c r="F19" s="8" t="s">
        <v>72</v>
      </c>
      <c r="G19" s="8" t="s">
        <v>72</v>
      </c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</row>
    <row r="22" ht="15.75" customHeight="1">
      <c r="A22" s="13" t="s">
        <v>73</v>
      </c>
      <c r="B22" s="13"/>
      <c r="C22" s="13"/>
      <c r="D22" s="13"/>
      <c r="E22" s="13"/>
      <c r="F22" s="13"/>
      <c r="G22" s="13"/>
      <c r="H22" s="13"/>
      <c r="I22" s="13"/>
    </row>
    <row r="23" ht="15.75" customHeight="1">
      <c r="A23" s="14" t="s">
        <v>74</v>
      </c>
      <c r="B23" s="14" t="s">
        <v>75</v>
      </c>
      <c r="C23" s="14" t="s">
        <v>76</v>
      </c>
      <c r="D23" s="14" t="s">
        <v>77</v>
      </c>
      <c r="E23" s="14" t="s">
        <v>78</v>
      </c>
      <c r="F23" s="14" t="s">
        <v>79</v>
      </c>
      <c r="G23" s="14" t="s">
        <v>4</v>
      </c>
      <c r="H23" s="14" t="s">
        <v>71</v>
      </c>
      <c r="I23" s="14"/>
    </row>
    <row r="24" ht="15.75" customHeight="1">
      <c r="A24" s="8" t="str">
        <f>IF(OR($B$15="Strong Bearish",$B$15="Bearish",$B$15="Moderate Bearish"),"Bearish",IF(OR($B$15="Strong Bullish",$B$15="Bullish",$B$15="Moderate Bullish"),"Bullish","Neutral"))</f>
        <v>Neutral</v>
      </c>
      <c r="B24" s="8" t="str">
        <f t="array" ref="B24">IFERROR(INDEX(Timing!$C$2:$C$100,MATCH(1,(Timing!$A$2:$A$100=$B$4)*(Timing!$B$2:$B$100=$A24),0)),"To refine")</f>
        <v>Friday (35.8%) | Sun–Tue high 35.8%</v>
      </c>
      <c r="C24" s="8" t="str">
        <f t="array" ref="C24">IFERROR(INDEX(Timing!$D$2:$D$100,MATCH(1,(Timing!$A$2:$A$100=$B$4)*(Timing!$B$2:$B$100=$A24),0)),"To refine")</f>
        <v>Sunday (20.7%) | Sun–Tue low 52.5%</v>
      </c>
      <c r="D24" s="8" t="str">
        <f t="array" ref="D24">IFERROR(INDEX(Timing!$E$2:$E$100,MATCH(1,(Timing!$A$2:$A$100=$B$4)*(Timing!$B$2:$B$100=$A24),0)),"To refine")</f>
        <v>High 09:00 ET (15.1%) / Low 18:00 ET (18.4%)</v>
      </c>
      <c r="E24" s="8" t="str">
        <f t="array" ref="E24">IFERROR(INDEX(Timing!$G$2:$G$100,MATCH(1,(Timing!$A$2:$A$100=$B$4)*(Timing!$B$2:$B$100=$A24),0)),"To refine")</f>
        <v>Baseline mixed-machine timing. Use as reference only; high-before-low 44.7%.</v>
      </c>
      <c r="F24" s="8" t="str">
        <f t="array" ref="F24">IFERROR(INDEX(Timing!$H$2:$H$100,MATCH(1,(Timing!$A$2:$A$100=$B$4)*(Timing!$B$2:$B$100=$A24),0)),"To refine")</f>
        <v>High</v>
      </c>
      <c r="G24" s="8" t="str">
        <f t="array" ref="G24">IFERROR(INDEX(Timing!$J$2:$J$100,MATCH(1,(Timing!$A$2:$A$100=$B$4)*(Timing!$B$2:$B$100=$A24),0)),"To refine")</f>
        <v>Hourly calibration dataset</v>
      </c>
      <c r="H24" s="8" t="s">
        <v>80</v>
      </c>
      <c r="I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</row>
    <row r="27" ht="15.75" customHeight="1">
      <c r="A27" s="13" t="s">
        <v>81</v>
      </c>
      <c r="B27" s="13"/>
      <c r="C27" s="13"/>
      <c r="D27" s="13"/>
      <c r="E27" s="13"/>
      <c r="F27" s="13"/>
      <c r="G27" s="13"/>
      <c r="H27" s="13"/>
      <c r="I27" s="13"/>
    </row>
    <row r="28" ht="15.75" customHeight="1">
      <c r="A28" s="14" t="s">
        <v>82</v>
      </c>
      <c r="B28" s="14" t="s">
        <v>83</v>
      </c>
      <c r="C28" s="14" t="s">
        <v>84</v>
      </c>
      <c r="D28" s="14" t="s">
        <v>85</v>
      </c>
      <c r="E28" s="14" t="s">
        <v>86</v>
      </c>
      <c r="F28" s="14" t="s">
        <v>87</v>
      </c>
      <c r="G28" s="14" t="s">
        <v>88</v>
      </c>
      <c r="H28" s="14" t="s">
        <v>71</v>
      </c>
      <c r="I28" s="14"/>
    </row>
    <row r="29" ht="15.75" customHeight="1">
      <c r="A29" s="8" t="str">
        <f t="array" ref="A29">IFERROR(INDEX(Structure!$B$2:$B$100,MATCH($B$4,Structure!$A$2:$A$100,0)),"Manual")</f>
        <v>Manual</v>
      </c>
      <c r="B29" s="8" t="str">
        <f t="array" ref="B29">IFERROR(INDEX(Structure!$C$2:$C$100,MATCH($B$4,Structure!$A$2:$A$100,0)),"Manual")</f>
        <v>68 / manual</v>
      </c>
      <c r="C29" s="8" t="str">
        <f t="array" ref="C29">IFERROR(INDEX(Structure!$D$2:$D$100,MATCH($B$4,Structure!$A$2:$A$100,0)),"Manual")</f>
        <v>Below key level</v>
      </c>
      <c r="D29" s="8" t="str">
        <f t="array" ref="D29">IFERROR(INDEX(Structure!$E$2:$E$100,MATCH($B$4,Structure!$A$2:$A$100,0)),"Manual")</f>
        <v>Pending confirmation</v>
      </c>
      <c r="E29" s="8">
        <f t="array" ref="E29">IFERROR(INDEX(Structure!$F$2:$F$100,MATCH($B$4,Structure!$A$2:$A$100,0)),"Manual")</f>
        <v>-1</v>
      </c>
      <c r="F29" s="8" t="str">
        <f t="array" ref="F29">IFERROR(INDEX(Structure!$G$2:$G$100,MATCH($B$4,Structure!$A$2:$A$100,0)),"Manual")</f>
        <v>Update manually based on weekly close / acceptance</v>
      </c>
      <c r="G29" s="8" t="str">
        <f t="array" ref="G29">IFERROR(INDEX(Structure!$H$2:$H$100,MATCH($B$4,Structure!$A$2:$A$100,0)),"Manual")</f>
        <v>Manual</v>
      </c>
      <c r="H29" s="8" t="s">
        <v>89</v>
      </c>
      <c r="I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</row>
    <row r="32" ht="15.75" customHeight="1">
      <c r="A32" s="23" t="s">
        <v>90</v>
      </c>
      <c r="B32" s="23"/>
      <c r="C32" s="23"/>
      <c r="D32" s="23"/>
      <c r="E32" s="23"/>
      <c r="F32" s="23"/>
      <c r="G32" s="23"/>
      <c r="H32" s="23"/>
      <c r="I32" s="13"/>
    </row>
    <row r="33" ht="15.75" customHeight="1">
      <c r="A33" s="24" t="s">
        <v>91</v>
      </c>
      <c r="B33" s="25" t="s">
        <v>92</v>
      </c>
      <c r="C33" s="25" t="s">
        <v>93</v>
      </c>
      <c r="D33" s="24" t="s">
        <v>94</v>
      </c>
      <c r="E33" s="24" t="s">
        <v>95</v>
      </c>
      <c r="F33" s="24" t="s">
        <v>96</v>
      </c>
      <c r="G33" s="24" t="s">
        <v>58</v>
      </c>
      <c r="H33" s="24" t="s">
        <v>9</v>
      </c>
      <c r="I33" s="14" t="s">
        <v>97</v>
      </c>
    </row>
    <row r="34" ht="15.75" customHeight="1">
      <c r="A34" s="8" t="str">
        <f>$B$4</f>
        <v>XAGUSD</v>
      </c>
      <c r="B34" s="26">
        <f t="array" ref="B34">IFERROR(XLOOKUP($B$4,Signal_Engine!$A:$A,Signal_Engine!$J:$J),0)</f>
        <v>-1768</v>
      </c>
      <c r="C34" s="26">
        <f t="array" ref="C34">IFERROR(XLOOKUP($B$4,Signal_Engine!$A:$A,Signal_Engine!$M:$M),0)</f>
        <v>2406</v>
      </c>
      <c r="D34" s="26">
        <f t="array" ref="D34">IFERROR(XLOOKUP($B$4,Signal_Engine!$A:$A,Signal_Engine!$G:$G),0)</f>
        <v>-17080</v>
      </c>
      <c r="E34" s="27">
        <f t="array" ref="E34">IFERROR(XLOOKUP($B$4,Signal_Engine!$A:$A,Signal_Engine!$P:$P),0)</f>
        <v>0</v>
      </c>
      <c r="F34" s="8" t="str">
        <f t="array" ref="F34">IFERROR(XLOOKUP($B$4,Signal_Engine!$A:$A,Signal_Engine!$U:$U),"Neutral")</f>
        <v>Neutral</v>
      </c>
      <c r="G34" s="8" t="str">
        <f t="array" ref="G34">IFERROR(XLOOKUP($B$4,Signal_Engine!$A:$A,Signal_Engine!$AT:$AT),"Neutral / Mixed")</f>
        <v>Neutral / Mixed</v>
      </c>
      <c r="H34" s="8" t="str">
        <f t="array" ref="H34">IFERROR(XLOOKUP($B$4,Signal_Engine!$A:$A,Signal_Engine!$AU:$AU),"")</f>
        <v>Pts → Bull 10 | Bear 10 | Neutral 135 || Commercial -1,768 (-10) | NonComm 2,406 (10) | OI -17,080 (0) | DXY Neutral (0) | RealYield Neutral (0)</v>
      </c>
      <c r="I34" s="8">
        <f t="array" ref="I34">IFERROR(XLOOKUP($B$4,Signal_Engine!$A:$A,Signal_Engine!$AE:$AE),"")</f>
        <v>46182.82906</v>
      </c>
    </row>
    <row r="35" ht="15.75" customHeight="1">
      <c r="A35" s="28" t="str">
        <f>"FINAL READ: "&amp;$B$4&amp;" | Machine: "&amp;B15&amp;" | Bullish "&amp;TEXT(B14,"0%")&amp;" / Bearish "&amp;TEXT(D14,"0%")&amp;" / Neutral "&amp;TEXT(F14,"0%")&amp;" | Evidence: "&amp;D15&amp;" | Seasonality: "&amp;B19&amp;" / "&amp;C19&amp;" | Timing: "&amp;B24&amp;" → "&amp;E24&amp;" | Structure: "&amp;C29&amp;" / "&amp;D29</f>
        <v>FINAL READ: XAGUSD | Machine: Neutral / Mixed | Bullish 6% / Bearish 6% / Neutral 87% | Evidence: Pts → Bull 10 | Bear 10 | Neutral 135 || Commercial -1,768 (-10) | NonComm 2,406 (10) | OI -17,080 (0) | DXY Neutral (0) | RealYield Neutral (0) | Seasonality: Bearish / Strong | Timing: Friday (35.8%) | Sun–Tue high 35.8% → Baseline mixed-machine timing. Use as reference only; high-before-low 44.7%. | Structure: Below key level / Pending confirmation</v>
      </c>
    </row>
    <row r="36" ht="15.75" customHeight="1"/>
    <row r="37" ht="15.75" customHeight="1"/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K1:R1"/>
    <mergeCell ref="A2:I2"/>
    <mergeCell ref="K8:R8"/>
    <mergeCell ref="L17:N17"/>
    <mergeCell ref="A36:I37"/>
  </mergeCells>
  <conditionalFormatting sqref="B7:B10">
    <cfRule type="expression" dxfId="0" priority="1">
      <formula>OR(B7="Bearish",B7="Bearish Bias",B7="Strong Bearish")</formula>
    </cfRule>
  </conditionalFormatting>
  <conditionalFormatting sqref="B7:B10">
    <cfRule type="expression" dxfId="1" priority="2">
      <formula>OR(B7="Bullish",B7="Bullish Bias",B7="Strong Bullish")</formula>
    </cfRule>
  </conditionalFormatting>
  <conditionalFormatting sqref="B7:B10">
    <cfRule type="expression" dxfId="2" priority="3">
      <formula>OR(B7="Neutral",B7="Neutral / Mixed")</formula>
    </cfRule>
  </conditionalFormatting>
  <conditionalFormatting sqref="B14">
    <cfRule type="expression" dxfId="0" priority="4">
      <formula>OR(B14="Bearish",B14="Bearish Bias",B14="Strong Bearish")</formula>
    </cfRule>
  </conditionalFormatting>
  <conditionalFormatting sqref="B14">
    <cfRule type="expression" dxfId="1" priority="5">
      <formula>OR(B14="Bullish",B14="Bullish Bias",B14="Strong Bullish")</formula>
    </cfRule>
  </conditionalFormatting>
  <conditionalFormatting sqref="B14">
    <cfRule type="expression" dxfId="2" priority="6">
      <formula>OR(B14="Neutral",B14="Neutral / Mixed")</formula>
    </cfRule>
  </conditionalFormatting>
  <conditionalFormatting sqref="B18">
    <cfRule type="expression" dxfId="0" priority="7">
      <formula>OR(B18="Bearish",B18="Bearish Bias",B18="Strong Bearish")</formula>
    </cfRule>
  </conditionalFormatting>
  <conditionalFormatting sqref="B18">
    <cfRule type="expression" dxfId="1" priority="8">
      <formula>OR(B18="Bullish",B18="Bullish Bias",B18="Strong Bullish")</formula>
    </cfRule>
  </conditionalFormatting>
  <conditionalFormatting sqref="B18">
    <cfRule type="expression" dxfId="2" priority="9">
      <formula>OR(B18="Neutral",B18="Neutral / Mixed")</formula>
    </cfRule>
  </conditionalFormatting>
  <conditionalFormatting sqref="A23">
    <cfRule type="expression" dxfId="0" priority="10">
      <formula>OR(A23="Bearish",A23="Bearish Bias",A23="Strong Bearish")</formula>
    </cfRule>
  </conditionalFormatting>
  <conditionalFormatting sqref="A23">
    <cfRule type="expression" dxfId="1" priority="11">
      <formula>OR(A23="Bullish",A23="Bullish Bias",A23="Strong Bullish")</formula>
    </cfRule>
  </conditionalFormatting>
  <conditionalFormatting sqref="A23">
    <cfRule type="expression" dxfId="2" priority="12">
      <formula>OR(A23="Neutral",A23="Neutral / Mixed")</formula>
    </cfRule>
  </conditionalFormatting>
  <conditionalFormatting sqref="C28">
    <cfRule type="expression" dxfId="0" priority="13">
      <formula>OR(C28="Bearish",C28="Bearish Bias",C28="Strong Bearish")</formula>
    </cfRule>
  </conditionalFormatting>
  <conditionalFormatting sqref="C28">
    <cfRule type="expression" dxfId="1" priority="14">
      <formula>OR(C28="Bullish",C28="Bullish Bias",C28="Strong Bullish")</formula>
    </cfRule>
  </conditionalFormatting>
  <conditionalFormatting sqref="C28">
    <cfRule type="expression" dxfId="2" priority="15">
      <formula>OR(C28="Neutral",C28="Neutral / Mixed")</formula>
    </cfRule>
  </conditionalFormatting>
  <conditionalFormatting sqref="A33">
    <cfRule type="expression" dxfId="0" priority="16">
      <formula>OR(A33="Bearish",A33="Bearish Bias",A33="Strong Bearish")</formula>
    </cfRule>
  </conditionalFormatting>
  <conditionalFormatting sqref="A33">
    <cfRule type="expression" dxfId="1" priority="17">
      <formula>OR(A33="Bullish",A33="Bullish Bias",A33="Strong Bullish")</formula>
    </cfRule>
  </conditionalFormatting>
  <conditionalFormatting sqref="A33">
    <cfRule type="expression" dxfId="2" priority="18">
      <formula>OR(A33="Neutral",A33="Neutral / Mixed")</formula>
    </cfRule>
  </conditionalFormatting>
  <conditionalFormatting sqref="B8:B11">
    <cfRule type="expression" dxfId="3" priority="19">
      <formula>LOWER(B8)="bearish"</formula>
    </cfRule>
  </conditionalFormatting>
  <conditionalFormatting sqref="B8:B11">
    <cfRule type="expression" dxfId="4" priority="20">
      <formula>LOWER(B8)="bullish"</formula>
    </cfRule>
  </conditionalFormatting>
  <conditionalFormatting sqref="B8:B11">
    <cfRule type="expression" dxfId="5" priority="21">
      <formula>LOWER(B8)="neutral"</formula>
    </cfRule>
  </conditionalFormatting>
  <dataValidations>
    <dataValidation type="list" allowBlank="1" sqref="B4">
      <formula1>Lists!$E$2:$E$6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8.88"/>
    <col customWidth="1" min="3" max="3" width="8.75"/>
    <col customWidth="1" min="4" max="4" width="14.25"/>
    <col customWidth="1" min="5" max="5" width="24.63"/>
    <col customWidth="1" min="6" max="6" width="11.13"/>
    <col customWidth="1" min="7" max="7" width="9.5"/>
    <col customWidth="1" min="8" max="8" width="14.25"/>
    <col customWidth="1" min="9" max="9" width="20.25"/>
    <col customWidth="1" min="10" max="10" width="8.13"/>
    <col customWidth="1" min="11" max="11" width="10.75"/>
    <col customWidth="1" min="12" max="12" width="11.25"/>
    <col customWidth="1" min="13" max="13" width="11.5"/>
    <col customWidth="1" min="14" max="14" width="11.63"/>
    <col customWidth="1" min="15" max="15" width="12.25"/>
    <col customWidth="1" min="16" max="16" width="12.38"/>
    <col customWidth="1" min="17" max="17" width="12.5"/>
    <col customWidth="1" min="18" max="19" width="40.0"/>
    <col customWidth="1" min="20" max="20" width="9.0"/>
    <col customWidth="1" min="21" max="21" width="12.38"/>
    <col customWidth="1" min="22" max="22" width="17.13"/>
    <col customWidth="1" min="23" max="23" width="12.5"/>
    <col customWidth="1" min="24" max="24" width="11.0"/>
    <col customWidth="1" min="25" max="25" width="14.13"/>
    <col customWidth="1" min="26" max="26" width="11.75"/>
    <col customWidth="1" min="27" max="27" width="50.0"/>
  </cols>
  <sheetData>
    <row r="1">
      <c r="A1" s="3" t="s">
        <v>98</v>
      </c>
      <c r="B1" s="3" t="s">
        <v>91</v>
      </c>
      <c r="C1" s="3" t="s">
        <v>99</v>
      </c>
      <c r="D1" s="3" t="s">
        <v>100</v>
      </c>
      <c r="E1" s="3" t="s">
        <v>101</v>
      </c>
      <c r="F1" s="3" t="s">
        <v>29</v>
      </c>
      <c r="G1" s="29" t="s">
        <v>102</v>
      </c>
      <c r="H1" s="29" t="s">
        <v>103</v>
      </c>
      <c r="I1" s="29" t="s">
        <v>104</v>
      </c>
      <c r="J1" s="29" t="s">
        <v>105</v>
      </c>
      <c r="K1" s="3" t="s">
        <v>49</v>
      </c>
      <c r="L1" s="3" t="s">
        <v>50</v>
      </c>
      <c r="M1" s="3" t="s">
        <v>51</v>
      </c>
      <c r="N1" s="29" t="s">
        <v>106</v>
      </c>
      <c r="O1" s="29" t="s">
        <v>107</v>
      </c>
      <c r="P1" s="29" t="s">
        <v>108</v>
      </c>
      <c r="Q1" s="3" t="s">
        <v>58</v>
      </c>
      <c r="R1" s="3" t="s">
        <v>59</v>
      </c>
      <c r="S1" s="3" t="s">
        <v>60</v>
      </c>
      <c r="T1" s="30" t="s">
        <v>109</v>
      </c>
      <c r="U1" s="30" t="s">
        <v>110</v>
      </c>
      <c r="V1" s="30" t="s">
        <v>111</v>
      </c>
      <c r="W1" s="30" t="s">
        <v>112</v>
      </c>
      <c r="X1" s="30" t="s">
        <v>113</v>
      </c>
      <c r="Y1" s="30" t="s">
        <v>114</v>
      </c>
      <c r="Z1" s="30" t="s">
        <v>115</v>
      </c>
      <c r="AA1" s="30" t="s">
        <v>9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>
      <c r="A2" s="31">
        <f t="array" ref="A2">IFERROR(INDEX(Signal_Engine!$AE:$AE,MATCH($B2,Signal_Engine!$A:$A,0)),NOW())</f>
        <v>46182.82906</v>
      </c>
      <c r="B2" s="32" t="s">
        <v>17</v>
      </c>
      <c r="C2" s="32" t="str">
        <f t="array" ref="C2">IFERROR(XLOOKUP($B2,Signal_Engine!$A:$A,Signal_Engine!$U:$U),"Neutral")</f>
        <v>Neutral</v>
      </c>
      <c r="D2" s="32" t="str">
        <f t="array" ref="D2">IFERROR(XLOOKUP($B2,Signal_Engine!$A:$A,Signal_Engine!$Q:$Q),"Neutral")</f>
        <v>Neutral</v>
      </c>
      <c r="E2" s="32" t="str">
        <f t="array" ref="E2">IFERROR(XLOOKUP($B2,Signal_Engine!$A:$A,Signal_Engine!$R:$R),"Neutral")</f>
        <v>Bullish</v>
      </c>
      <c r="F2" s="32" t="str">
        <f t="array" ref="F2">IFERROR(XLOOKUP($B2,Signal_Engine!$A:$A,Signal_Engine!$T:$T),"Neutral")</f>
        <v>Neutral</v>
      </c>
      <c r="G2" s="32">
        <v>0.3</v>
      </c>
      <c r="H2" s="32">
        <v>0.3</v>
      </c>
      <c r="I2" s="32">
        <v>0.25</v>
      </c>
      <c r="J2" s="32">
        <v>0.15</v>
      </c>
      <c r="K2" s="32">
        <f t="array" ref="K2">IFERROR(INDEX(Signal_Engine!$V:$V,MATCH($B2,Signal_Engine!$A:$A,0)),0)</f>
        <v>1</v>
      </c>
      <c r="L2" s="32">
        <f t="array" ref="L2">IFERROR(INDEX(Signal_Engine!$W:$W,MATCH($B2,Signal_Engine!$A:$A,0)),0)</f>
        <v>0</v>
      </c>
      <c r="M2" s="32">
        <f t="array" ref="M2">IFERROR(INDEX(Signal_Engine!$X:$X,MATCH($B2,Signal_Engine!$A:$A,0)),0)</f>
        <v>3</v>
      </c>
      <c r="N2" s="33">
        <f t="array" ref="N2">IFERROR(XLOOKUP($B2,Signal_Engine!$A:$A,Signal_Engine!$AQ:$AQ),0)</f>
        <v>0.06451612903</v>
      </c>
      <c r="O2" s="33">
        <f t="array" ref="O2">IFERROR(XLOOKUP($B2,Signal_Engine!$A:$A,Signal_Engine!$AR:$AR),0)</f>
        <v>0.06451612903</v>
      </c>
      <c r="P2" s="33">
        <f t="array" ref="P2">IFERROR(XLOOKUP($B2,Signal_Engine!$A:$A,Signal_Engine!$AS:$AS),1)</f>
        <v>0.8709677419</v>
      </c>
      <c r="Q2" s="32" t="str">
        <f t="array" ref="Q2">IFERROR(XLOOKUP($B2,Signal_Engine!$A:$A,Signal_Engine!$AT:$AT),"Neutral / Mixed")</f>
        <v>Neutral / Mixed</v>
      </c>
      <c r="R2" s="32" t="str">
        <f t="array" ref="R2">IFERROR(XLOOKUP($B2,Signal_Engine!$A:$A,Signal_Engine!$AU:$AU),"")</f>
        <v>Pts → Bull 10 | Bear 10 | Neutral 135 || Commercial -1,768 (-10) | NonComm 2,406 (10) | OI -17,080 (0) | DXY Neutral (0) | RealYield Neutral (0)</v>
      </c>
      <c r="S2" s="32" t="str">
        <f t="array" ref="S2">IF(Q2="Strong Bearish","High-conviction bearish machine pressure.",IF(Q2="Strong Bullish","High-conviction bullish machine pressure.",IF(Q2="Bearish","Bearish machine pressure outweighs bullish evidence.",IF(Q2="Bullish","Bullish machine pressure outweighs bearish evidence.",IF(Q2="Moderate Bearish","Moderate bearish skew; confirm with structure/timing.",IF(Q2="Moderate Bullish","Moderate bullish skew; confirm with structure/timing.","Mixed machine; wait for cleaner alignment."))))))</f>
        <v>Mixed machine; wait for cleaner alignment.</v>
      </c>
      <c r="T2" s="32" t="str">
        <f t="shared" ref="T2:T6" si="1">IF(Z2="Yes","Live","Manual")</f>
        <v>Live</v>
      </c>
      <c r="U2" s="32" t="str">
        <f t="array" ref="U2">C2</f>
        <v>Neutral</v>
      </c>
      <c r="V2" s="32" t="str">
        <f t="array" ref="V2">D2</f>
        <v>Neutral</v>
      </c>
      <c r="W2" s="32" t="str">
        <f t="array" ref="W2">E2</f>
        <v>Bullish</v>
      </c>
      <c r="X2" s="32" t="str">
        <f t="array" ref="X2">F2</f>
        <v>Neutral</v>
      </c>
      <c r="Y2" s="34">
        <f t="shared" ref="Y2:Y6" si="2">A2</f>
        <v>46182.82906</v>
      </c>
      <c r="Z2" s="32" t="s">
        <v>116</v>
      </c>
      <c r="AA2" s="32" t="str">
        <f t="array" ref="AA2">IFERROR(INDEX(Signal_Engine!$AF:$AF,MATCH($B2,Signal_Engine!$A:$A,0)),"Auto-connected to Signal_Engine.")</f>
        <v>RealYield Δ 0.00 | NonComm Δ 2,406 | Commercial Δ -1,768 | OI Δ -17,080</v>
      </c>
    </row>
    <row r="3">
      <c r="A3" s="31">
        <f t="array" ref="A3">IFERROR(INDEX(Signal_Engine!$AE:$AE,MATCH($B3,Signal_Engine!$A:$A,0)),NOW())</f>
        <v>46182.82906</v>
      </c>
      <c r="B3" s="32" t="s">
        <v>117</v>
      </c>
      <c r="C3" s="32" t="str">
        <f t="array" ref="C3">IFERROR(XLOOKUP($B3,Signal_Engine!$A:$A,Signal_Engine!$U:$U),"Neutral")</f>
        <v>Neutral</v>
      </c>
      <c r="D3" s="32" t="str">
        <f t="array" ref="D3">IFERROR(XLOOKUP($B3,Signal_Engine!$A:$A,Signal_Engine!$Q:$Q),"Neutral")</f>
        <v>Neutral</v>
      </c>
      <c r="E3" s="32" t="str">
        <f t="array" ref="E3">IFERROR(XLOOKUP($B3,Signal_Engine!$A:$A,Signal_Engine!$R:$R),"Neutral")</f>
        <v>Bullish</v>
      </c>
      <c r="F3" s="32" t="str">
        <f t="array" ref="F3">IFERROR(XLOOKUP($B3,Signal_Engine!$A:$A,Signal_Engine!$T:$T),"Neutral")</f>
        <v>Neutral</v>
      </c>
      <c r="G3" s="32">
        <v>0.3</v>
      </c>
      <c r="H3" s="32">
        <v>0.3</v>
      </c>
      <c r="I3" s="32">
        <v>0.25</v>
      </c>
      <c r="J3" s="32">
        <v>0.15</v>
      </c>
      <c r="K3" s="32">
        <f t="array" ref="K3">IFERROR(INDEX(Signal_Engine!$V:$V,MATCH($B3,Signal_Engine!$A:$A,0)),0)</f>
        <v>1</v>
      </c>
      <c r="L3" s="32">
        <f t="array" ref="L3">IFERROR(INDEX(Signal_Engine!$W:$W,MATCH($B3,Signal_Engine!$A:$A,0)),0)</f>
        <v>0</v>
      </c>
      <c r="M3" s="32">
        <f t="array" ref="M3">IFERROR(INDEX(Signal_Engine!$X:$X,MATCH($B3,Signal_Engine!$A:$A,0)),0)</f>
        <v>3</v>
      </c>
      <c r="N3" s="33">
        <f t="array" ref="N3">IFERROR(XLOOKUP($B3,Signal_Engine!$A:$A,Signal_Engine!$AQ:$AQ),0)</f>
        <v>0.06451612903</v>
      </c>
      <c r="O3" s="33">
        <f t="array" ref="O3">IFERROR(XLOOKUP($B3,Signal_Engine!$A:$A,Signal_Engine!$AR:$AR),0)</f>
        <v>0.06451612903</v>
      </c>
      <c r="P3" s="33">
        <f t="array" ref="P3">IFERROR(XLOOKUP($B3,Signal_Engine!$A:$A,Signal_Engine!$AS:$AS),1)</f>
        <v>0.8709677419</v>
      </c>
      <c r="Q3" s="32" t="str">
        <f t="array" ref="Q3">IFERROR(XLOOKUP($B3,Signal_Engine!$A:$A,Signal_Engine!$AT:$AT),"Neutral / Mixed")</f>
        <v>Neutral / Mixed</v>
      </c>
      <c r="R3" s="32" t="str">
        <f t="array" ref="R3">IFERROR(XLOOKUP($B3,Signal_Engine!$A:$A,Signal_Engine!$AU:$AU),"")</f>
        <v>Pts → Bull 10 | Bear 10 | Neutral 135 || Commercial -1,198 (-10) | NonComm 1,939 (10) | OI -1,455 (0) | DXY Neutral (0) | RealYield Neutral (0)</v>
      </c>
      <c r="S3" s="32" t="str">
        <f t="array" ref="S3">IF(Q3="Strong Bearish","High-conviction bearish machine pressure.",IF(Q3="Strong Bullish","High-conviction bullish machine pressure.",IF(Q3="Bearish","Bearish machine pressure outweighs bullish evidence.",IF(Q3="Bullish","Bullish machine pressure outweighs bearish evidence.",IF(Q3="Moderate Bearish","Moderate bearish skew; confirm with structure/timing.",IF(Q3="Moderate Bullish","Moderate bullish skew; confirm with structure/timing.","Mixed machine; wait for cleaner alignment."))))))</f>
        <v>Mixed machine; wait for cleaner alignment.</v>
      </c>
      <c r="T3" s="32" t="str">
        <f t="shared" si="1"/>
        <v>Live</v>
      </c>
      <c r="U3" s="32" t="str">
        <f t="array" ref="U3">C3</f>
        <v>Neutral</v>
      </c>
      <c r="V3" s="32" t="str">
        <f t="array" ref="V3">D3</f>
        <v>Neutral</v>
      </c>
      <c r="W3" s="32" t="str">
        <f t="array" ref="W3">E3</f>
        <v>Bullish</v>
      </c>
      <c r="X3" s="32" t="str">
        <f t="array" ref="X3">F3</f>
        <v>Neutral</v>
      </c>
      <c r="Y3" s="34">
        <f t="shared" si="2"/>
        <v>46182.82906</v>
      </c>
      <c r="Z3" s="32" t="s">
        <v>116</v>
      </c>
      <c r="AA3" s="32" t="str">
        <f t="array" ref="AA3">IFERROR(INDEX(Signal_Engine!$AF:$AF,MATCH($B3,Signal_Engine!$A:$A,0)),"Auto-connected to Signal_Engine.")</f>
        <v>RealYield Δ 0.00 | NonComm Δ 1,939 | Commercial Δ -1,198 | OI Δ -1,455</v>
      </c>
    </row>
    <row r="4">
      <c r="A4" s="31">
        <f t="array" ref="A4">IFERROR(INDEX(Signal_Engine!$AE:$AE,MATCH($B4,Signal_Engine!$A:$A,0)),NOW())</f>
        <v>46182.82906</v>
      </c>
      <c r="B4" s="32" t="s">
        <v>118</v>
      </c>
      <c r="C4" s="32" t="str">
        <f t="array" ref="C4">IFERROR(XLOOKUP($B4,Signal_Engine!$A:$A,Signal_Engine!$U:$U),"Neutral")</f>
        <v>Neutral</v>
      </c>
      <c r="D4" s="32" t="str">
        <f t="array" ref="D4">IFERROR(XLOOKUP($B4,Signal_Engine!$A:$A,Signal_Engine!$Q:$Q),"Neutral")</f>
        <v>Neutral</v>
      </c>
      <c r="E4" s="32" t="str">
        <f t="array" ref="E4">IFERROR(XLOOKUP($B4,Signal_Engine!$A:$A,Signal_Engine!$R:$R),"Neutral")</f>
        <v>Bearish</v>
      </c>
      <c r="F4" s="32" t="str">
        <f t="array" ref="F4">IFERROR(XLOOKUP($B4,Signal_Engine!$A:$A,Signal_Engine!$T:$T),"Neutral")</f>
        <v>Neutral</v>
      </c>
      <c r="G4" s="32">
        <v>0.3</v>
      </c>
      <c r="H4" s="32">
        <v>0.3</v>
      </c>
      <c r="I4" s="32">
        <v>0.25</v>
      </c>
      <c r="J4" s="32">
        <v>0.15</v>
      </c>
      <c r="K4" s="32">
        <f t="array" ref="K4">IFERROR(INDEX(Signal_Engine!$V:$V,MATCH($B4,Signal_Engine!$A:$A,0)),0)</f>
        <v>0</v>
      </c>
      <c r="L4" s="32">
        <f t="array" ref="L4">IFERROR(INDEX(Signal_Engine!$W:$W,MATCH($B4,Signal_Engine!$A:$A,0)),0)</f>
        <v>1</v>
      </c>
      <c r="M4" s="32">
        <f t="array" ref="M4">IFERROR(INDEX(Signal_Engine!$X:$X,MATCH($B4,Signal_Engine!$A:$A,0)),0)</f>
        <v>3</v>
      </c>
      <c r="N4" s="33">
        <f t="array" ref="N4">IFERROR(XLOOKUP($B4,Signal_Engine!$A:$A,Signal_Engine!$AQ:$AQ),0)</f>
        <v>0.2580645161</v>
      </c>
      <c r="O4" s="33">
        <f t="array" ref="O4">IFERROR(XLOOKUP($B4,Signal_Engine!$A:$A,Signal_Engine!$AR:$AR),0)</f>
        <v>0.2580645161</v>
      </c>
      <c r="P4" s="33">
        <f t="array" ref="P4">IFERROR(XLOOKUP($B4,Signal_Engine!$A:$A,Signal_Engine!$AS:$AS),1)</f>
        <v>0.4838709677</v>
      </c>
      <c r="Q4" s="32" t="str">
        <f t="array" ref="Q4">IFERROR(XLOOKUP($B4,Signal_Engine!$A:$A,Signal_Engine!$AT:$AT),"Neutral / Mixed")</f>
        <v>Neutral / Mixed</v>
      </c>
      <c r="R4" s="32" t="str">
        <f t="array" ref="R4">IFERROR(XLOOKUP($B4,Signal_Engine!$A:$A,Signal_Engine!$AU:$AU),"")</f>
        <v>Pts → Bull 40 | Bear 40 | Neutral 75 || Commercial 55,145 (40) | NonComm -54,937 (-40) | OI 55,610 (0) | DXY Neutral (0) | RealYield Neutral (0)</v>
      </c>
      <c r="S4" s="32" t="str">
        <f t="array" ref="S4">IF(Q4="Strong Bearish","High-conviction bearish machine pressure.",IF(Q4="Strong Bullish","High-conviction bullish machine pressure.",IF(Q4="Bearish","Bearish machine pressure outweighs bullish evidence.",IF(Q4="Bullish","Bullish machine pressure outweighs bearish evidence.",IF(Q4="Moderate Bearish","Moderate bearish skew; confirm with structure/timing.",IF(Q4="Moderate Bullish","Moderate bullish skew; confirm with structure/timing.","Mixed machine; wait for cleaner alignment."))))))</f>
        <v>Mixed machine; wait for cleaner alignment.</v>
      </c>
      <c r="T4" s="32" t="str">
        <f t="shared" si="1"/>
        <v>Live</v>
      </c>
      <c r="U4" s="32" t="str">
        <f t="array" ref="U4">C4</f>
        <v>Neutral</v>
      </c>
      <c r="V4" s="32" t="str">
        <f t="array" ref="V4">D4</f>
        <v>Neutral</v>
      </c>
      <c r="W4" s="32" t="str">
        <f t="array" ref="W4">E4</f>
        <v>Bearish</v>
      </c>
      <c r="X4" s="32" t="str">
        <f t="array" ref="X4">F4</f>
        <v>Neutral</v>
      </c>
      <c r="Y4" s="34">
        <f t="shared" si="2"/>
        <v>46182.82906</v>
      </c>
      <c r="Z4" s="32" t="s">
        <v>116</v>
      </c>
      <c r="AA4" s="32" t="str">
        <f t="array" ref="AA4">IFERROR(INDEX(Signal_Engine!$AF:$AF,MATCH($B4,Signal_Engine!$A:$A,0)),"Auto-connected to Signal_Engine.")</f>
        <v>RealYield Δ 0.00 | NonComm Δ -54,937 | Commercial Δ 55,145 | OI Δ 55,610</v>
      </c>
    </row>
    <row r="5">
      <c r="A5" s="31">
        <f t="array" ref="A5">IFERROR(INDEX(Signal_Engine!$AE:$AE,MATCH($B5,Signal_Engine!$A:$A,0)),NOW())</f>
        <v>46182.82906</v>
      </c>
      <c r="B5" s="32" t="s">
        <v>119</v>
      </c>
      <c r="C5" s="32" t="str">
        <f t="array" ref="C5">IFERROR(XLOOKUP($B5,Signal_Engine!$A:$A,Signal_Engine!$U:$U),"Neutral")</f>
        <v>Neutral</v>
      </c>
      <c r="D5" s="32" t="str">
        <f t="array" ref="D5">IFERROR(XLOOKUP($B5,Signal_Engine!$A:$A,Signal_Engine!$Q:$Q),"Neutral")</f>
        <v>Neutral</v>
      </c>
      <c r="E5" s="32" t="str">
        <f t="array" ref="E5">IFERROR(XLOOKUP($B5,Signal_Engine!$A:$A,Signal_Engine!$R:$R),"Neutral")</f>
        <v>Bearish</v>
      </c>
      <c r="F5" s="32" t="str">
        <f t="array" ref="F5">IFERROR(XLOOKUP($B5,Signal_Engine!$A:$A,Signal_Engine!$T:$T),"Neutral")</f>
        <v>Neutral</v>
      </c>
      <c r="G5" s="32">
        <v>0.3</v>
      </c>
      <c r="H5" s="32">
        <v>0.3</v>
      </c>
      <c r="I5" s="32">
        <v>0.25</v>
      </c>
      <c r="J5" s="32">
        <v>0.15</v>
      </c>
      <c r="K5" s="32">
        <f t="array" ref="K5">IFERROR(INDEX(Signal_Engine!$V:$V,MATCH($B5,Signal_Engine!$A:$A,0)),0)</f>
        <v>0</v>
      </c>
      <c r="L5" s="32">
        <f t="array" ref="L5">IFERROR(INDEX(Signal_Engine!$W:$W,MATCH($B5,Signal_Engine!$A:$A,0)),0)</f>
        <v>1</v>
      </c>
      <c r="M5" s="32">
        <f t="array" ref="M5">IFERROR(INDEX(Signal_Engine!$X:$X,MATCH($B5,Signal_Engine!$A:$A,0)),0)</f>
        <v>3</v>
      </c>
      <c r="N5" s="33">
        <f t="array" ref="N5">IFERROR(XLOOKUP($B5,Signal_Engine!$A:$A,Signal_Engine!$AQ:$AQ),0)</f>
        <v>0.2580645161</v>
      </c>
      <c r="O5" s="33">
        <f t="array" ref="O5">IFERROR(XLOOKUP($B5,Signal_Engine!$A:$A,Signal_Engine!$AR:$AR),0)</f>
        <v>0.2580645161</v>
      </c>
      <c r="P5" s="33">
        <f t="array" ref="P5">IFERROR(XLOOKUP($B5,Signal_Engine!$A:$A,Signal_Engine!$AS:$AS),1)</f>
        <v>0.4838709677</v>
      </c>
      <c r="Q5" s="32" t="str">
        <f t="array" ref="Q5">IFERROR(XLOOKUP($B5,Signal_Engine!$A:$A,Signal_Engine!$AT:$AT),"Neutral / Mixed")</f>
        <v>Neutral / Mixed</v>
      </c>
      <c r="R5" s="32" t="str">
        <f t="array" ref="R5">IFERROR(XLOOKUP($B5,Signal_Engine!$A:$A,Signal_Engine!$AU:$AU),"")</f>
        <v>Pts → Bull 40 | Bear 40 | Neutral 75 || Commercial 15,302 (40) | NonComm -10,803 (-40) | OI 15,220 (0) | DXY Neutral (0) | RealYield Neutral (0)</v>
      </c>
      <c r="S5" s="32" t="str">
        <f t="array" ref="S5">IF(Q5="Strong Bearish","High-conviction bearish machine pressure.",IF(Q5="Strong Bullish","High-conviction bullish machine pressure.",IF(Q5="Bearish","Bearish machine pressure outweighs bullish evidence.",IF(Q5="Bullish","Bullish machine pressure outweighs bearish evidence.",IF(Q5="Moderate Bearish","Moderate bearish skew; confirm with structure/timing.",IF(Q5="Moderate Bullish","Moderate bullish skew; confirm with structure/timing.","Mixed machine; wait for cleaner alignment."))))))</f>
        <v>Mixed machine; wait for cleaner alignment.</v>
      </c>
      <c r="T5" s="32" t="str">
        <f t="shared" si="1"/>
        <v>Live</v>
      </c>
      <c r="U5" s="32" t="str">
        <f t="array" ref="U5">C5</f>
        <v>Neutral</v>
      </c>
      <c r="V5" s="32" t="str">
        <f t="array" ref="V5">D5</f>
        <v>Neutral</v>
      </c>
      <c r="W5" s="32" t="str">
        <f t="array" ref="W5">E5</f>
        <v>Bearish</v>
      </c>
      <c r="X5" s="32" t="str">
        <f t="array" ref="X5">F5</f>
        <v>Neutral</v>
      </c>
      <c r="Y5" s="34">
        <f t="shared" si="2"/>
        <v>46182.82906</v>
      </c>
      <c r="Z5" s="32" t="s">
        <v>116</v>
      </c>
      <c r="AA5" s="32" t="str">
        <f t="array" ref="AA5">IFERROR(INDEX(Signal_Engine!$AF:$AF,MATCH($B5,Signal_Engine!$A:$A,0)),"Auto-connected to Signal_Engine.")</f>
        <v>RealYield Δ 0.00 | NonComm Δ -10,803 | Commercial Δ 15,302 | OI Δ 15,220</v>
      </c>
    </row>
    <row r="6">
      <c r="A6" s="31">
        <f t="array" ref="A6">IFERROR(INDEX(Signal_Engine!$AE:$AE,MATCH($B6,Signal_Engine!$A:$A,0)),NOW())</f>
        <v>46182.82906</v>
      </c>
      <c r="B6" s="32" t="s">
        <v>120</v>
      </c>
      <c r="C6" s="32" t="str">
        <f t="array" ref="C6">IFERROR(XLOOKUP($B6,Signal_Engine!$A:$A,Signal_Engine!$U:$U),"Neutral")</f>
        <v>Neutral</v>
      </c>
      <c r="D6" s="32" t="str">
        <f t="array" ref="D6">IFERROR(XLOOKUP($B6,Signal_Engine!$A:$A,Signal_Engine!$Q:$Q),"Neutral")</f>
        <v>Neutral</v>
      </c>
      <c r="E6" s="32" t="str">
        <f t="array" ref="E6">IFERROR(XLOOKUP($B6,Signal_Engine!$A:$A,Signal_Engine!$R:$R),"Neutral")</f>
        <v>Neutral</v>
      </c>
      <c r="F6" s="32" t="str">
        <f t="array" ref="F6">IFERROR(XLOOKUP($B6,Signal_Engine!$A:$A,Signal_Engine!$T:$T),"Neutral")</f>
        <v>Neutral</v>
      </c>
      <c r="G6" s="32">
        <v>0.3</v>
      </c>
      <c r="H6" s="32">
        <v>0.3</v>
      </c>
      <c r="I6" s="32">
        <v>0.25</v>
      </c>
      <c r="J6" s="32">
        <v>0.15</v>
      </c>
      <c r="K6" s="32">
        <f t="array" ref="K6">IFERROR(INDEX(Signal_Engine!$V:$V,MATCH($B6,Signal_Engine!$A:$A,0)),0)</f>
        <v>0</v>
      </c>
      <c r="L6" s="32">
        <f t="array" ref="L6">IFERROR(INDEX(Signal_Engine!$W:$W,MATCH($B6,Signal_Engine!$A:$A,0)),0)</f>
        <v>0</v>
      </c>
      <c r="M6" s="32">
        <f t="array" ref="M6">IFERROR(INDEX(Signal_Engine!$X:$X,MATCH($B6,Signal_Engine!$A:$A,0)),0)</f>
        <v>4</v>
      </c>
      <c r="N6" s="33">
        <f t="array" ref="N6">IFERROR(XLOOKUP($B6,Signal_Engine!$A:$A,Signal_Engine!$AQ:$AQ),0)</f>
        <v>0</v>
      </c>
      <c r="O6" s="33">
        <f t="array" ref="O6">IFERROR(XLOOKUP($B6,Signal_Engine!$A:$A,Signal_Engine!$AR:$AR),0)</f>
        <v>0</v>
      </c>
      <c r="P6" s="33">
        <f t="array" ref="P6">IFERROR(XLOOKUP($B6,Signal_Engine!$A:$A,Signal_Engine!$AS:$AS),1)</f>
        <v>1</v>
      </c>
      <c r="Q6" s="32" t="str">
        <f t="array" ref="Q6">IFERROR(XLOOKUP($B6,Signal_Engine!$A:$A,Signal_Engine!$AT:$AT),"Neutral / Mixed")</f>
        <v>Neutral / Mixed</v>
      </c>
      <c r="R6" s="32" t="str">
        <f t="array" ref="R6">IFERROR(XLOOKUP($B6,Signal_Engine!$A:$A,Signal_Engine!$AU:$AU),"")</f>
        <v>Pts → Bull 0 | Bear 0 | Neutral 155 || Commercial 0 (0) | NonComm 0 (0) | OI 0 (0) | DXY Neutral (0) | RealYield Neutral (0)</v>
      </c>
      <c r="S6" s="32" t="str">
        <f t="array" ref="S6">IF(Q6="Strong Bearish","High-conviction bearish machine pressure.",IF(Q6="Strong Bullish","High-conviction bullish machine pressure.",IF(Q6="Bearish","Bearish machine pressure outweighs bullish evidence.",IF(Q6="Bullish","Bullish machine pressure outweighs bearish evidence.",IF(Q6="Moderate Bearish","Moderate bearish skew; confirm with structure/timing.",IF(Q6="Moderate Bullish","Moderate bullish skew; confirm with structure/timing.","Mixed machine; wait for cleaner alignment."))))))</f>
        <v>Mixed machine; wait for cleaner alignment.</v>
      </c>
      <c r="T6" s="32" t="str">
        <f t="shared" si="1"/>
        <v>Live</v>
      </c>
      <c r="U6" s="32" t="str">
        <f t="array" ref="U6">C6</f>
        <v>Neutral</v>
      </c>
      <c r="V6" s="32" t="str">
        <f t="array" ref="V6">D6</f>
        <v>Neutral</v>
      </c>
      <c r="W6" s="32" t="str">
        <f t="array" ref="W6">E6</f>
        <v>Neutral</v>
      </c>
      <c r="X6" s="32" t="str">
        <f t="array" ref="X6">F6</f>
        <v>Neutral</v>
      </c>
      <c r="Y6" s="34">
        <f t="shared" si="2"/>
        <v>46182.82906</v>
      </c>
      <c r="Z6" s="32" t="s">
        <v>116</v>
      </c>
      <c r="AA6" s="32" t="str">
        <f t="array" ref="AA6">IFERROR(INDEX(Signal_Engine!$AF:$AF,MATCH($B6,Signal_Engine!$A:$A,0)),"Auto-connected to Signal_Engine.")</f>
        <v>RealYield Δ 0.00 | NonComm Δ 0 | Commercial Δ 0 | OI Δ 0</v>
      </c>
    </row>
    <row r="7">
      <c r="A7" s="31"/>
      <c r="B7" s="32"/>
      <c r="C7" s="32"/>
      <c r="D7" s="32"/>
      <c r="E7" s="32"/>
      <c r="F7" s="32"/>
      <c r="G7" s="32"/>
      <c r="H7" s="32"/>
      <c r="I7" s="32"/>
      <c r="J7" s="32"/>
      <c r="K7" s="32">
        <f t="array" ref="K7">IFERROR(INDEX(Signal_Engine!$V:$V,MATCH($B7,Signal_Engine!$A:$A,0)),0)</f>
        <v>0</v>
      </c>
      <c r="L7" s="32">
        <f t="array" ref="L7">IFERROR(INDEX(Signal_Engine!$W:$W,MATCH($B7,Signal_Engine!$A:$A,0)),0)</f>
        <v>0</v>
      </c>
      <c r="M7" s="32">
        <f t="array" ref="M7">IFERROR(INDEX(Signal_Engine!$X:$X,MATCH($B7,Signal_Engine!$A:$A,0)),0)</f>
        <v>0</v>
      </c>
      <c r="N7" s="33">
        <f t="array" ref="N7">IFERROR(INDEX(Signal_Engine!$Y:$Y,MATCH($B7,Signal_Engine!$A:$A,0)),0)</f>
        <v>0</v>
      </c>
      <c r="O7" s="33">
        <f t="array" ref="O7">IFERROR(INDEX(Signal_Engine!$Z:$Z,MATCH($B7,Signal_Engine!$A:$A,0)),0)</f>
        <v>0</v>
      </c>
      <c r="P7" s="33">
        <f t="array" ref="P7">IFERROR(INDEX(Signal_Engine!$AA:$AA,MATCH($B7,Signal_Engine!$A:$A,0)),0)</f>
        <v>0</v>
      </c>
      <c r="Q7" s="32" t="str">
        <f t="array" ref="Q7">IFERROR(INDEX(Signal_Engine!$AB:$AB,MATCH($B7,Signal_Engine!$A:$A,0)),"Neutral / Mixed")</f>
        <v>Neutral / Mixed</v>
      </c>
      <c r="R7" s="32" t="str">
        <f t="array" ref="R7">IFERROR(INDEX(Signal_Engine!$AC:$AC,MATCH($B7,Signal_Engine!$A:$A,0)),"0/4 Bullish | 0/4 Bearish | 0/4 Neutral")</f>
        <v>0/4 Bullish | 0/4 Bearish | 0/4 Neutral</v>
      </c>
      <c r="S7" s="32" t="str">
        <f t="array" ref="S7">IFERROR(INDEX(Signal_Engine!$AD:$AD,MATCH($B7,Signal_Engine!$A:$A,0)),"Mixed machine; wait for cleaner alignment.")</f>
        <v>Mixed machine; wait for cleaner alignment.</v>
      </c>
      <c r="Z7" s="32"/>
    </row>
    <row r="8">
      <c r="A8" s="31"/>
      <c r="B8" s="32"/>
      <c r="C8" s="32"/>
      <c r="D8" s="32"/>
      <c r="E8" s="32"/>
      <c r="F8" s="32"/>
      <c r="G8" s="32"/>
      <c r="H8" s="32"/>
      <c r="I8" s="32"/>
      <c r="J8" s="32"/>
      <c r="K8" s="32">
        <f t="array" ref="K8">IFERROR(INDEX(Signal_Engine!$V:$V,MATCH($B8,Signal_Engine!$A:$A,0)),0)</f>
        <v>0</v>
      </c>
      <c r="L8" s="32">
        <f t="array" ref="L8">IFERROR(INDEX(Signal_Engine!$W:$W,MATCH($B8,Signal_Engine!$A:$A,0)),0)</f>
        <v>0</v>
      </c>
      <c r="M8" s="32">
        <f t="array" ref="M8">IFERROR(INDEX(Signal_Engine!$X:$X,MATCH($B8,Signal_Engine!$A:$A,0)),0)</f>
        <v>0</v>
      </c>
      <c r="N8" s="33">
        <f t="array" ref="N8">IFERROR(INDEX(Signal_Engine!$Y:$Y,MATCH($B8,Signal_Engine!$A:$A,0)),0)</f>
        <v>0</v>
      </c>
      <c r="O8" s="33">
        <f t="array" ref="O8">IFERROR(INDEX(Signal_Engine!$Z:$Z,MATCH($B8,Signal_Engine!$A:$A,0)),0)</f>
        <v>0</v>
      </c>
      <c r="P8" s="33">
        <f t="array" ref="P8">IFERROR(INDEX(Signal_Engine!$AA:$AA,MATCH($B8,Signal_Engine!$A:$A,0)),0)</f>
        <v>0</v>
      </c>
      <c r="Q8" s="32" t="str">
        <f t="array" ref="Q8">IFERROR(INDEX(Signal_Engine!$AB:$AB,MATCH($B8,Signal_Engine!$A:$A,0)),"Neutral / Mixed")</f>
        <v>Neutral / Mixed</v>
      </c>
      <c r="R8" s="32" t="str">
        <f t="array" ref="R8">IFERROR(INDEX(Signal_Engine!$AC:$AC,MATCH($B8,Signal_Engine!$A:$A,0)),"0/4 Bullish | 0/4 Bearish | 0/4 Neutral")</f>
        <v>0/4 Bullish | 0/4 Bearish | 0/4 Neutral</v>
      </c>
      <c r="S8" s="32" t="str">
        <f t="array" ref="S8">IFERROR(INDEX(Signal_Engine!$AD:$AD,MATCH($B8,Signal_Engine!$A:$A,0)),"Mixed machine; wait for cleaner alignment.")</f>
        <v>Mixed machine; wait for cleaner alignment.</v>
      </c>
      <c r="Z8" s="32"/>
    </row>
    <row r="9">
      <c r="A9" s="31"/>
      <c r="B9" s="32"/>
      <c r="C9" s="32"/>
      <c r="D9" s="32"/>
      <c r="E9" s="32"/>
      <c r="F9" s="32"/>
      <c r="G9" s="32"/>
      <c r="H9" s="32"/>
      <c r="I9" s="32"/>
      <c r="J9" s="32"/>
      <c r="K9" s="32">
        <f t="array" ref="K9">IFERROR(INDEX(Signal_Engine!$V:$V,MATCH($B9,Signal_Engine!$A:$A,0)),0)</f>
        <v>0</v>
      </c>
      <c r="L9" s="32">
        <f t="array" ref="L9">IFERROR(INDEX(Signal_Engine!$W:$W,MATCH($B9,Signal_Engine!$A:$A,0)),0)</f>
        <v>0</v>
      </c>
      <c r="M9" s="32">
        <f t="array" ref="M9">IFERROR(INDEX(Signal_Engine!$X:$X,MATCH($B9,Signal_Engine!$A:$A,0)),0)</f>
        <v>0</v>
      </c>
      <c r="N9" s="33">
        <f t="array" ref="N9">IFERROR(INDEX(Signal_Engine!$Y:$Y,MATCH($B9,Signal_Engine!$A:$A,0)),0)</f>
        <v>0</v>
      </c>
      <c r="O9" s="33">
        <f t="array" ref="O9">IFERROR(INDEX(Signal_Engine!$Z:$Z,MATCH($B9,Signal_Engine!$A:$A,0)),0)</f>
        <v>0</v>
      </c>
      <c r="P9" s="33">
        <f t="array" ref="P9">IFERROR(INDEX(Signal_Engine!$AA:$AA,MATCH($B9,Signal_Engine!$A:$A,0)),0)</f>
        <v>0</v>
      </c>
      <c r="Q9" s="32" t="str">
        <f t="array" ref="Q9">IFERROR(INDEX(Signal_Engine!$AB:$AB,MATCH($B9,Signal_Engine!$A:$A,0)),"Neutral / Mixed")</f>
        <v>Neutral / Mixed</v>
      </c>
      <c r="R9" s="32" t="str">
        <f t="array" ref="R9">IFERROR(INDEX(Signal_Engine!$AC:$AC,MATCH($B9,Signal_Engine!$A:$A,0)),"0/4 Bullish | 0/4 Bearish | 0/4 Neutral")</f>
        <v>0/4 Bullish | 0/4 Bearish | 0/4 Neutral</v>
      </c>
      <c r="S9" s="32" t="str">
        <f t="array" ref="S9">IFERROR(INDEX(Signal_Engine!$AD:$AD,MATCH($B9,Signal_Engine!$A:$A,0)),"Mixed machine; wait for cleaner alignment.")</f>
        <v>Mixed machine; wait for cleaner alignment.</v>
      </c>
      <c r="Z9" s="32"/>
    </row>
    <row r="10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>
        <f t="array" ref="K10">IFERROR(INDEX(Signal_Engine!$V:$V,MATCH($B10,Signal_Engine!$A:$A,0)),0)</f>
        <v>0</v>
      </c>
      <c r="L10" s="32">
        <f t="array" ref="L10">IFERROR(INDEX(Signal_Engine!$W:$W,MATCH($B10,Signal_Engine!$A:$A,0)),0)</f>
        <v>0</v>
      </c>
      <c r="M10" s="32">
        <f t="array" ref="M10">IFERROR(INDEX(Signal_Engine!$X:$X,MATCH($B10,Signal_Engine!$A:$A,0)),0)</f>
        <v>0</v>
      </c>
      <c r="N10" s="33">
        <f t="array" ref="N10">IFERROR(INDEX(Signal_Engine!$Y:$Y,MATCH($B10,Signal_Engine!$A:$A,0)),0)</f>
        <v>0</v>
      </c>
      <c r="O10" s="33">
        <f t="array" ref="O10">IFERROR(INDEX(Signal_Engine!$Z:$Z,MATCH($B10,Signal_Engine!$A:$A,0)),0)</f>
        <v>0</v>
      </c>
      <c r="P10" s="33">
        <f t="array" ref="P10">IFERROR(INDEX(Signal_Engine!$AA:$AA,MATCH($B10,Signal_Engine!$A:$A,0)),0)</f>
        <v>0</v>
      </c>
      <c r="Q10" s="32" t="str">
        <f t="array" ref="Q10">IFERROR(INDEX(Signal_Engine!$AB:$AB,MATCH($B10,Signal_Engine!$A:$A,0)),"Neutral / Mixed")</f>
        <v>Neutral / Mixed</v>
      </c>
      <c r="R10" s="32" t="str">
        <f t="array" ref="R10">IFERROR(INDEX(Signal_Engine!$AC:$AC,MATCH($B10,Signal_Engine!$A:$A,0)),"0/4 Bullish | 0/4 Bearish | 0/4 Neutral")</f>
        <v>0/4 Bullish | 0/4 Bearish | 0/4 Neutral</v>
      </c>
      <c r="S10" s="32" t="str">
        <f t="array" ref="S10">IFERROR(INDEX(Signal_Engine!$AD:$AD,MATCH($B10,Signal_Engine!$A:$A,0)),"Mixed machine; wait for cleaner alignment.")</f>
        <v>Mixed machine; wait for cleaner alignment.</v>
      </c>
      <c r="Z10" s="32"/>
    </row>
    <row r="11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>
        <f t="array" ref="K11">IFERROR(INDEX(Signal_Engine!$V:$V,MATCH($B11,Signal_Engine!$A:$A,0)),0)</f>
        <v>0</v>
      </c>
      <c r="L11" s="32">
        <f t="array" ref="L11">IFERROR(INDEX(Signal_Engine!$W:$W,MATCH($B11,Signal_Engine!$A:$A,0)),0)</f>
        <v>0</v>
      </c>
      <c r="M11" s="32">
        <f t="array" ref="M11">IFERROR(INDEX(Signal_Engine!$X:$X,MATCH($B11,Signal_Engine!$A:$A,0)),0)</f>
        <v>0</v>
      </c>
      <c r="N11" s="33">
        <f t="array" ref="N11">IFERROR(INDEX(Signal_Engine!$Y:$Y,MATCH($B11,Signal_Engine!$A:$A,0)),0)</f>
        <v>0</v>
      </c>
      <c r="O11" s="33">
        <f t="array" ref="O11">IFERROR(INDEX(Signal_Engine!$Z:$Z,MATCH($B11,Signal_Engine!$A:$A,0)),0)</f>
        <v>0</v>
      </c>
      <c r="P11" s="33">
        <f t="array" ref="P11">IFERROR(INDEX(Signal_Engine!$AA:$AA,MATCH($B11,Signal_Engine!$A:$A,0)),0)</f>
        <v>0</v>
      </c>
      <c r="Q11" s="32" t="str">
        <f t="array" ref="Q11">IFERROR(INDEX(Signal_Engine!$AB:$AB,MATCH($B11,Signal_Engine!$A:$A,0)),"Neutral / Mixed")</f>
        <v>Neutral / Mixed</v>
      </c>
      <c r="R11" s="32" t="str">
        <f t="array" ref="R11">IFERROR(INDEX(Signal_Engine!$AC:$AC,MATCH($B11,Signal_Engine!$A:$A,0)),"0/4 Bullish | 0/4 Bearish | 0/4 Neutral")</f>
        <v>0/4 Bullish | 0/4 Bearish | 0/4 Neutral</v>
      </c>
      <c r="S11" s="32" t="str">
        <f t="array" ref="S11">IFERROR(INDEX(Signal_Engine!$AD:$AD,MATCH($B11,Signal_Engine!$A:$A,0)),"Mixed machine; wait for cleaner alignment.")</f>
        <v>Mixed machine; wait for cleaner alignment.</v>
      </c>
      <c r="Z11" s="32"/>
    </row>
    <row r="12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>
        <f t="array" ref="K12">IFERROR(INDEX(Signal_Engine!$V:$V,MATCH($B12,Signal_Engine!$A:$A,0)),0)</f>
        <v>0</v>
      </c>
      <c r="L12" s="32">
        <f t="array" ref="L12">IFERROR(INDEX(Signal_Engine!$W:$W,MATCH($B12,Signal_Engine!$A:$A,0)),0)</f>
        <v>0</v>
      </c>
      <c r="M12" s="32">
        <f t="array" ref="M12">IFERROR(INDEX(Signal_Engine!$X:$X,MATCH($B12,Signal_Engine!$A:$A,0)),0)</f>
        <v>0</v>
      </c>
      <c r="N12" s="33">
        <f t="array" ref="N12">IFERROR(INDEX(Signal_Engine!$Y:$Y,MATCH($B12,Signal_Engine!$A:$A,0)),0)</f>
        <v>0</v>
      </c>
      <c r="O12" s="33">
        <f t="array" ref="O12">IFERROR(INDEX(Signal_Engine!$Z:$Z,MATCH($B12,Signal_Engine!$A:$A,0)),0)</f>
        <v>0</v>
      </c>
      <c r="P12" s="33">
        <f t="array" ref="P12">IFERROR(INDEX(Signal_Engine!$AA:$AA,MATCH($B12,Signal_Engine!$A:$A,0)),0)</f>
        <v>0</v>
      </c>
      <c r="Q12" s="32" t="str">
        <f t="array" ref="Q12">IFERROR(INDEX(Signal_Engine!$AB:$AB,MATCH($B12,Signal_Engine!$A:$A,0)),"Neutral / Mixed")</f>
        <v>Neutral / Mixed</v>
      </c>
      <c r="R12" s="32" t="str">
        <f t="array" ref="R12">IFERROR(INDEX(Signal_Engine!$AC:$AC,MATCH($B12,Signal_Engine!$A:$A,0)),"0/4 Bullish | 0/4 Bearish | 0/4 Neutral")</f>
        <v>0/4 Bullish | 0/4 Bearish | 0/4 Neutral</v>
      </c>
      <c r="S12" s="32" t="str">
        <f t="array" ref="S12">IFERROR(INDEX(Signal_Engine!$AD:$AD,MATCH($B12,Signal_Engine!$A:$A,0)),"Mixed machine; wait for cleaner alignment.")</f>
        <v>Mixed machine; wait for cleaner alignment.</v>
      </c>
      <c r="Z12" s="32"/>
    </row>
    <row r="13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>
        <f t="array" ref="K13">IFERROR(INDEX(Signal_Engine!$V:$V,MATCH($B13,Signal_Engine!$A:$A,0)),0)</f>
        <v>0</v>
      </c>
      <c r="L13" s="32">
        <f t="array" ref="L13">IFERROR(INDEX(Signal_Engine!$W:$W,MATCH($B13,Signal_Engine!$A:$A,0)),0)</f>
        <v>0</v>
      </c>
      <c r="M13" s="32">
        <f t="array" ref="M13">IFERROR(INDEX(Signal_Engine!$X:$X,MATCH($B13,Signal_Engine!$A:$A,0)),0)</f>
        <v>0</v>
      </c>
      <c r="N13" s="33">
        <f t="array" ref="N13">IFERROR(INDEX(Signal_Engine!$Y:$Y,MATCH($B13,Signal_Engine!$A:$A,0)),0)</f>
        <v>0</v>
      </c>
      <c r="O13" s="33">
        <f t="array" ref="O13">IFERROR(INDEX(Signal_Engine!$Z:$Z,MATCH($B13,Signal_Engine!$A:$A,0)),0)</f>
        <v>0</v>
      </c>
      <c r="P13" s="33">
        <f t="array" ref="P13">IFERROR(INDEX(Signal_Engine!$AA:$AA,MATCH($B13,Signal_Engine!$A:$A,0)),0)</f>
        <v>0</v>
      </c>
      <c r="Q13" s="32" t="str">
        <f t="array" ref="Q13">IFERROR(INDEX(Signal_Engine!$AB:$AB,MATCH($B13,Signal_Engine!$A:$A,0)),"Neutral / Mixed")</f>
        <v>Neutral / Mixed</v>
      </c>
      <c r="R13" s="32" t="str">
        <f t="array" ref="R13">IFERROR(INDEX(Signal_Engine!$AC:$AC,MATCH($B13,Signal_Engine!$A:$A,0)),"0/4 Bullish | 0/4 Bearish | 0/4 Neutral")</f>
        <v>0/4 Bullish | 0/4 Bearish | 0/4 Neutral</v>
      </c>
      <c r="S13" s="32" t="str">
        <f t="array" ref="S13">IFERROR(INDEX(Signal_Engine!$AD:$AD,MATCH($B13,Signal_Engine!$A:$A,0)),"Mixed machine; wait for cleaner alignment.")</f>
        <v>Mixed machine; wait for cleaner alignment.</v>
      </c>
      <c r="Z13" s="32"/>
    </row>
    <row r="14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>
        <f t="array" ref="K14">IFERROR(INDEX(Signal_Engine!$V:$V,MATCH($B14,Signal_Engine!$A:$A,0)),0)</f>
        <v>0</v>
      </c>
      <c r="L14" s="32">
        <f t="array" ref="L14">IFERROR(INDEX(Signal_Engine!$W:$W,MATCH($B14,Signal_Engine!$A:$A,0)),0)</f>
        <v>0</v>
      </c>
      <c r="M14" s="32">
        <f t="array" ref="M14">IFERROR(INDEX(Signal_Engine!$X:$X,MATCH($B14,Signal_Engine!$A:$A,0)),0)</f>
        <v>0</v>
      </c>
      <c r="N14" s="33">
        <f t="array" ref="N14">IFERROR(INDEX(Signal_Engine!$Y:$Y,MATCH($B14,Signal_Engine!$A:$A,0)),0)</f>
        <v>0</v>
      </c>
      <c r="O14" s="33">
        <f t="array" ref="O14">IFERROR(INDEX(Signal_Engine!$Z:$Z,MATCH($B14,Signal_Engine!$A:$A,0)),0)</f>
        <v>0</v>
      </c>
      <c r="P14" s="33">
        <f t="array" ref="P14">IFERROR(INDEX(Signal_Engine!$AA:$AA,MATCH($B14,Signal_Engine!$A:$A,0)),0)</f>
        <v>0</v>
      </c>
      <c r="Q14" s="32" t="str">
        <f t="array" ref="Q14">IFERROR(INDEX(Signal_Engine!$AB:$AB,MATCH($B14,Signal_Engine!$A:$A,0)),"Neutral / Mixed")</f>
        <v>Neutral / Mixed</v>
      </c>
      <c r="R14" s="32" t="str">
        <f t="array" ref="R14">IFERROR(INDEX(Signal_Engine!$AC:$AC,MATCH($B14,Signal_Engine!$A:$A,0)),"0/4 Bullish | 0/4 Bearish | 0/4 Neutral")</f>
        <v>0/4 Bullish | 0/4 Bearish | 0/4 Neutral</v>
      </c>
      <c r="S14" s="32" t="str">
        <f t="array" ref="S14">IFERROR(INDEX(Signal_Engine!$AD:$AD,MATCH($B14,Signal_Engine!$A:$A,0)),"Mixed machine; wait for cleaner alignment.")</f>
        <v>Mixed machine; wait for cleaner alignment.</v>
      </c>
      <c r="Z14" s="32"/>
    </row>
    <row r="1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>
        <f t="array" ref="K15">IFERROR(INDEX(Signal_Engine!$V:$V,MATCH($B15,Signal_Engine!$A:$A,0)),0)</f>
        <v>0</v>
      </c>
      <c r="L15" s="32">
        <f t="array" ref="L15">IFERROR(INDEX(Signal_Engine!$W:$W,MATCH($B15,Signal_Engine!$A:$A,0)),0)</f>
        <v>0</v>
      </c>
      <c r="M15" s="32">
        <f t="array" ref="M15">IFERROR(INDEX(Signal_Engine!$X:$X,MATCH($B15,Signal_Engine!$A:$A,0)),0)</f>
        <v>0</v>
      </c>
      <c r="N15" s="33">
        <f t="array" ref="N15">IFERROR(INDEX(Signal_Engine!$Y:$Y,MATCH($B15,Signal_Engine!$A:$A,0)),0)</f>
        <v>0</v>
      </c>
      <c r="O15" s="33">
        <f t="array" ref="O15">IFERROR(INDEX(Signal_Engine!$Z:$Z,MATCH($B15,Signal_Engine!$A:$A,0)),0)</f>
        <v>0</v>
      </c>
      <c r="P15" s="33">
        <f t="array" ref="P15">IFERROR(INDEX(Signal_Engine!$AA:$AA,MATCH($B15,Signal_Engine!$A:$A,0)),0)</f>
        <v>0</v>
      </c>
      <c r="Q15" s="32" t="str">
        <f t="array" ref="Q15">IFERROR(INDEX(Signal_Engine!$AB:$AB,MATCH($B15,Signal_Engine!$A:$A,0)),"Neutral / Mixed")</f>
        <v>Neutral / Mixed</v>
      </c>
      <c r="R15" s="32" t="str">
        <f t="array" ref="R15">IFERROR(INDEX(Signal_Engine!$AC:$AC,MATCH($B15,Signal_Engine!$A:$A,0)),"0/4 Bullish | 0/4 Bearish | 0/4 Neutral")</f>
        <v>0/4 Bullish | 0/4 Bearish | 0/4 Neutral</v>
      </c>
      <c r="S15" s="32" t="str">
        <f t="array" ref="S15">IFERROR(INDEX(Signal_Engine!$AD:$AD,MATCH($B15,Signal_Engine!$A:$A,0)),"Mixed machine; wait for cleaner alignment.")</f>
        <v>Mixed machine; wait for cleaner alignment.</v>
      </c>
      <c r="Z15" s="32"/>
    </row>
    <row r="16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>
        <f t="array" ref="K16">IFERROR(INDEX(Signal_Engine!$V:$V,MATCH($B16,Signal_Engine!$A:$A,0)),0)</f>
        <v>0</v>
      </c>
      <c r="L16" s="32">
        <f t="array" ref="L16">IFERROR(INDEX(Signal_Engine!$W:$W,MATCH($B16,Signal_Engine!$A:$A,0)),0)</f>
        <v>0</v>
      </c>
      <c r="M16" s="32">
        <f t="array" ref="M16">IFERROR(INDEX(Signal_Engine!$X:$X,MATCH($B16,Signal_Engine!$A:$A,0)),0)</f>
        <v>0</v>
      </c>
      <c r="N16" s="33">
        <f t="array" ref="N16">IFERROR(INDEX(Signal_Engine!$Y:$Y,MATCH($B16,Signal_Engine!$A:$A,0)),0)</f>
        <v>0</v>
      </c>
      <c r="O16" s="33">
        <f t="array" ref="O16">IFERROR(INDEX(Signal_Engine!$Z:$Z,MATCH($B16,Signal_Engine!$A:$A,0)),0)</f>
        <v>0</v>
      </c>
      <c r="P16" s="33">
        <f t="array" ref="P16">IFERROR(INDEX(Signal_Engine!$AA:$AA,MATCH($B16,Signal_Engine!$A:$A,0)),0)</f>
        <v>0</v>
      </c>
      <c r="Q16" s="32" t="str">
        <f t="array" ref="Q16">IFERROR(INDEX(Signal_Engine!$AB:$AB,MATCH($B16,Signal_Engine!$A:$A,0)),"Neutral / Mixed")</f>
        <v>Neutral / Mixed</v>
      </c>
      <c r="R16" s="32" t="str">
        <f t="array" ref="R16">IFERROR(INDEX(Signal_Engine!$AC:$AC,MATCH($B16,Signal_Engine!$A:$A,0)),"0/4 Bullish | 0/4 Bearish | 0/4 Neutral")</f>
        <v>0/4 Bullish | 0/4 Bearish | 0/4 Neutral</v>
      </c>
      <c r="S16" s="32" t="str">
        <f t="array" ref="S16">IFERROR(INDEX(Signal_Engine!$AD:$AD,MATCH($B16,Signal_Engine!$A:$A,0)),"Mixed machine; wait for cleaner alignment.")</f>
        <v>Mixed machine; wait for cleaner alignment.</v>
      </c>
      <c r="Z16" s="32"/>
    </row>
    <row r="17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>
        <f t="array" ref="K17">IFERROR(INDEX(Signal_Engine!$V:$V,MATCH($B17,Signal_Engine!$A:$A,0)),0)</f>
        <v>0</v>
      </c>
      <c r="L17" s="32">
        <f t="array" ref="L17">IFERROR(INDEX(Signal_Engine!$W:$W,MATCH($B17,Signal_Engine!$A:$A,0)),0)</f>
        <v>0</v>
      </c>
      <c r="M17" s="32">
        <f t="array" ref="M17">IFERROR(INDEX(Signal_Engine!$X:$X,MATCH($B17,Signal_Engine!$A:$A,0)),0)</f>
        <v>0</v>
      </c>
      <c r="N17" s="33">
        <f t="array" ref="N17">IFERROR(INDEX(Signal_Engine!$Y:$Y,MATCH($B17,Signal_Engine!$A:$A,0)),0)</f>
        <v>0</v>
      </c>
      <c r="O17" s="33">
        <f t="array" ref="O17">IFERROR(INDEX(Signal_Engine!$Z:$Z,MATCH($B17,Signal_Engine!$A:$A,0)),0)</f>
        <v>0</v>
      </c>
      <c r="P17" s="33">
        <f t="array" ref="P17">IFERROR(INDEX(Signal_Engine!$AA:$AA,MATCH($B17,Signal_Engine!$A:$A,0)),0)</f>
        <v>0</v>
      </c>
      <c r="Q17" s="32" t="str">
        <f t="array" ref="Q17">IFERROR(INDEX(Signal_Engine!$AB:$AB,MATCH($B17,Signal_Engine!$A:$A,0)),"Neutral / Mixed")</f>
        <v>Neutral / Mixed</v>
      </c>
      <c r="R17" s="32" t="str">
        <f t="array" ref="R17">IFERROR(INDEX(Signal_Engine!$AC:$AC,MATCH($B17,Signal_Engine!$A:$A,0)),"0/4 Bullish | 0/4 Bearish | 0/4 Neutral")</f>
        <v>0/4 Bullish | 0/4 Bearish | 0/4 Neutral</v>
      </c>
      <c r="S17" s="32" t="str">
        <f t="array" ref="S17">IFERROR(INDEX(Signal_Engine!$AD:$AD,MATCH($B17,Signal_Engine!$A:$A,0)),"Mixed machine; wait for cleaner alignment.")</f>
        <v>Mixed machine; wait for cleaner alignment.</v>
      </c>
      <c r="Z17" s="32"/>
    </row>
    <row r="18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>
        <f t="array" ref="K18">IFERROR(INDEX(Signal_Engine!$V:$V,MATCH($B18,Signal_Engine!$A:$A,0)),0)</f>
        <v>0</v>
      </c>
      <c r="L18" s="32">
        <f t="array" ref="L18">IFERROR(INDEX(Signal_Engine!$W:$W,MATCH($B18,Signal_Engine!$A:$A,0)),0)</f>
        <v>0</v>
      </c>
      <c r="M18" s="32">
        <f t="array" ref="M18">IFERROR(INDEX(Signal_Engine!$X:$X,MATCH($B18,Signal_Engine!$A:$A,0)),0)</f>
        <v>0</v>
      </c>
      <c r="N18" s="33">
        <f t="array" ref="N18">IFERROR(INDEX(Signal_Engine!$Y:$Y,MATCH($B18,Signal_Engine!$A:$A,0)),0)</f>
        <v>0</v>
      </c>
      <c r="O18" s="33">
        <f t="array" ref="O18">IFERROR(INDEX(Signal_Engine!$Z:$Z,MATCH($B18,Signal_Engine!$A:$A,0)),0)</f>
        <v>0</v>
      </c>
      <c r="P18" s="33">
        <f t="array" ref="P18">IFERROR(INDEX(Signal_Engine!$AA:$AA,MATCH($B18,Signal_Engine!$A:$A,0)),0)</f>
        <v>0</v>
      </c>
      <c r="Q18" s="32" t="str">
        <f t="array" ref="Q18">IFERROR(INDEX(Signal_Engine!$AB:$AB,MATCH($B18,Signal_Engine!$A:$A,0)),"Neutral / Mixed")</f>
        <v>Neutral / Mixed</v>
      </c>
      <c r="R18" s="32" t="str">
        <f t="array" ref="R18">IFERROR(INDEX(Signal_Engine!$AC:$AC,MATCH($B18,Signal_Engine!$A:$A,0)),"0/4 Bullish | 0/4 Bearish | 0/4 Neutral")</f>
        <v>0/4 Bullish | 0/4 Bearish | 0/4 Neutral</v>
      </c>
      <c r="S18" s="32" t="str">
        <f t="array" ref="S18">IFERROR(INDEX(Signal_Engine!$AD:$AD,MATCH($B18,Signal_Engine!$A:$A,0)),"Mixed machine; wait for cleaner alignment.")</f>
        <v>Mixed machine; wait for cleaner alignment.</v>
      </c>
      <c r="Z18" s="32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>
        <f t="array" ref="K19">IFERROR(INDEX(Signal_Engine!$V:$V,MATCH($B19,Signal_Engine!$A:$A,0)),0)</f>
        <v>0</v>
      </c>
      <c r="L19" s="32">
        <f t="array" ref="L19">IFERROR(INDEX(Signal_Engine!$W:$W,MATCH($B19,Signal_Engine!$A:$A,0)),0)</f>
        <v>0</v>
      </c>
      <c r="M19" s="32">
        <f t="array" ref="M19">IFERROR(INDEX(Signal_Engine!$X:$X,MATCH($B19,Signal_Engine!$A:$A,0)),0)</f>
        <v>0</v>
      </c>
      <c r="N19" s="33">
        <f t="array" ref="N19">IFERROR(INDEX(Signal_Engine!$Y:$Y,MATCH($B19,Signal_Engine!$A:$A,0)),0)</f>
        <v>0</v>
      </c>
      <c r="O19" s="33">
        <f t="array" ref="O19">IFERROR(INDEX(Signal_Engine!$Z:$Z,MATCH($B19,Signal_Engine!$A:$A,0)),0)</f>
        <v>0</v>
      </c>
      <c r="P19" s="33">
        <f t="array" ref="P19">IFERROR(INDEX(Signal_Engine!$AA:$AA,MATCH($B19,Signal_Engine!$A:$A,0)),0)</f>
        <v>0</v>
      </c>
      <c r="Q19" s="32" t="str">
        <f t="array" ref="Q19">IFERROR(INDEX(Signal_Engine!$AB:$AB,MATCH($B19,Signal_Engine!$A:$A,0)),"Neutral / Mixed")</f>
        <v>Neutral / Mixed</v>
      </c>
      <c r="R19" s="32" t="str">
        <f t="array" ref="R19">IFERROR(INDEX(Signal_Engine!$AC:$AC,MATCH($B19,Signal_Engine!$A:$A,0)),"0/4 Bullish | 0/4 Bearish | 0/4 Neutral")</f>
        <v>0/4 Bullish | 0/4 Bearish | 0/4 Neutral</v>
      </c>
      <c r="S19" s="32" t="str">
        <f t="array" ref="S19">IFERROR(INDEX(Signal_Engine!$AD:$AD,MATCH($B19,Signal_Engine!$A:$A,0)),"Mixed machine; wait for cleaner alignment.")</f>
        <v>Mixed machine; wait for cleaner alignment.</v>
      </c>
      <c r="Z19" s="32"/>
    </row>
    <row r="20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>
        <f t="array" ref="K20">IFERROR(INDEX(Signal_Engine!$V:$V,MATCH($B20,Signal_Engine!$A:$A,0)),0)</f>
        <v>0</v>
      </c>
      <c r="L20" s="32">
        <f t="array" ref="L20">IFERROR(INDEX(Signal_Engine!$W:$W,MATCH($B20,Signal_Engine!$A:$A,0)),0)</f>
        <v>0</v>
      </c>
      <c r="M20" s="32">
        <f t="array" ref="M20">IFERROR(INDEX(Signal_Engine!$X:$X,MATCH($B20,Signal_Engine!$A:$A,0)),0)</f>
        <v>0</v>
      </c>
      <c r="N20" s="33">
        <f t="array" ref="N20">IFERROR(INDEX(Signal_Engine!$Y:$Y,MATCH($B20,Signal_Engine!$A:$A,0)),0)</f>
        <v>0</v>
      </c>
      <c r="O20" s="33">
        <f t="array" ref="O20">IFERROR(INDEX(Signal_Engine!$Z:$Z,MATCH($B20,Signal_Engine!$A:$A,0)),0)</f>
        <v>0</v>
      </c>
      <c r="P20" s="33">
        <f t="array" ref="P20">IFERROR(INDEX(Signal_Engine!$AA:$AA,MATCH($B20,Signal_Engine!$A:$A,0)),0)</f>
        <v>0</v>
      </c>
      <c r="Q20" s="32" t="str">
        <f t="array" ref="Q20">IFERROR(INDEX(Signal_Engine!$AB:$AB,MATCH($B20,Signal_Engine!$A:$A,0)),"Neutral / Mixed")</f>
        <v>Neutral / Mixed</v>
      </c>
      <c r="R20" s="32" t="str">
        <f t="array" ref="R20">IFERROR(INDEX(Signal_Engine!$AC:$AC,MATCH($B20,Signal_Engine!$A:$A,0)),"0/4 Bullish | 0/4 Bearish | 0/4 Neutral")</f>
        <v>0/4 Bullish | 0/4 Bearish | 0/4 Neutral</v>
      </c>
      <c r="S20" s="32" t="str">
        <f t="array" ref="S20">IFERROR(INDEX(Signal_Engine!$AD:$AD,MATCH($B20,Signal_Engine!$A:$A,0)),"Mixed machine; wait for cleaner alignment.")</f>
        <v>Mixed machine; wait for cleaner alignment.</v>
      </c>
      <c r="Z20" s="32"/>
    </row>
    <row r="21" ht="15.75" customHeight="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>
        <f t="array" ref="K21">IFERROR(INDEX(Signal_Engine!$V:$V,MATCH($B21,Signal_Engine!$A:$A,0)),0)</f>
        <v>0</v>
      </c>
      <c r="L21" s="32">
        <f t="array" ref="L21">IFERROR(INDEX(Signal_Engine!$W:$W,MATCH($B21,Signal_Engine!$A:$A,0)),0)</f>
        <v>0</v>
      </c>
      <c r="M21" s="32">
        <f t="array" ref="M21">IFERROR(INDEX(Signal_Engine!$X:$X,MATCH($B21,Signal_Engine!$A:$A,0)),0)</f>
        <v>0</v>
      </c>
      <c r="N21" s="33">
        <f t="array" ref="N21">IFERROR(INDEX(Signal_Engine!$Y:$Y,MATCH($B21,Signal_Engine!$A:$A,0)),0)</f>
        <v>0</v>
      </c>
      <c r="O21" s="33">
        <f t="array" ref="O21">IFERROR(INDEX(Signal_Engine!$Z:$Z,MATCH($B21,Signal_Engine!$A:$A,0)),0)</f>
        <v>0</v>
      </c>
      <c r="P21" s="33">
        <f t="array" ref="P21">IFERROR(INDEX(Signal_Engine!$AA:$AA,MATCH($B21,Signal_Engine!$A:$A,0)),0)</f>
        <v>0</v>
      </c>
      <c r="Q21" s="32" t="str">
        <f t="array" ref="Q21">IFERROR(INDEX(Signal_Engine!$AB:$AB,MATCH($B21,Signal_Engine!$A:$A,0)),"Neutral / Mixed")</f>
        <v>Neutral / Mixed</v>
      </c>
      <c r="R21" s="32" t="str">
        <f t="array" ref="R21">IFERROR(INDEX(Signal_Engine!$AC:$AC,MATCH($B21,Signal_Engine!$A:$A,0)),"0/4 Bullish | 0/4 Bearish | 0/4 Neutral")</f>
        <v>0/4 Bullish | 0/4 Bearish | 0/4 Neutral</v>
      </c>
      <c r="S21" s="32" t="str">
        <f t="array" ref="S21">IFERROR(INDEX(Signal_Engine!$AD:$AD,MATCH($B21,Signal_Engine!$A:$A,0)),"Mixed machine; wait for cleaner alignment.")</f>
        <v>Mixed machine; wait for cleaner alignment.</v>
      </c>
      <c r="Z21" s="32"/>
    </row>
    <row r="22" ht="15.75" customHeight="1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>
        <f t="array" ref="K22">IFERROR(INDEX(Signal_Engine!$V:$V,MATCH($B22,Signal_Engine!$A:$A,0)),0)</f>
        <v>0</v>
      </c>
      <c r="L22" s="32">
        <f t="array" ref="L22">IFERROR(INDEX(Signal_Engine!$W:$W,MATCH($B22,Signal_Engine!$A:$A,0)),0)</f>
        <v>0</v>
      </c>
      <c r="M22" s="32">
        <f t="array" ref="M22">IFERROR(INDEX(Signal_Engine!$X:$X,MATCH($B22,Signal_Engine!$A:$A,0)),0)</f>
        <v>0</v>
      </c>
      <c r="N22" s="33">
        <f t="array" ref="N22">IFERROR(INDEX(Signal_Engine!$Y:$Y,MATCH($B22,Signal_Engine!$A:$A,0)),0)</f>
        <v>0</v>
      </c>
      <c r="O22" s="33">
        <f t="array" ref="O22">IFERROR(INDEX(Signal_Engine!$Z:$Z,MATCH($B22,Signal_Engine!$A:$A,0)),0)</f>
        <v>0</v>
      </c>
      <c r="P22" s="33">
        <f t="array" ref="P22">IFERROR(INDEX(Signal_Engine!$AA:$AA,MATCH($B22,Signal_Engine!$A:$A,0)),0)</f>
        <v>0</v>
      </c>
      <c r="Q22" s="32" t="str">
        <f t="array" ref="Q22">IFERROR(INDEX(Signal_Engine!$AB:$AB,MATCH($B22,Signal_Engine!$A:$A,0)),"Neutral / Mixed")</f>
        <v>Neutral / Mixed</v>
      </c>
      <c r="R22" s="32" t="str">
        <f t="array" ref="R22">IFERROR(INDEX(Signal_Engine!$AC:$AC,MATCH($B22,Signal_Engine!$A:$A,0)),"0/4 Bullish | 0/4 Bearish | 0/4 Neutral")</f>
        <v>0/4 Bullish | 0/4 Bearish | 0/4 Neutral</v>
      </c>
      <c r="S22" s="32" t="str">
        <f t="array" ref="S22">IFERROR(INDEX(Signal_Engine!$AD:$AD,MATCH($B22,Signal_Engine!$A:$A,0)),"Mixed machine; wait for cleaner alignment.")</f>
        <v>Mixed machine; wait for cleaner alignment.</v>
      </c>
      <c r="Z22" s="32"/>
    </row>
    <row r="23" ht="15.75" customHeight="1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>
        <f t="array" ref="K23">IFERROR(INDEX(Signal_Engine!$V:$V,MATCH($B23,Signal_Engine!$A:$A,0)),0)</f>
        <v>0</v>
      </c>
      <c r="L23" s="32">
        <f t="array" ref="L23">IFERROR(INDEX(Signal_Engine!$W:$W,MATCH($B23,Signal_Engine!$A:$A,0)),0)</f>
        <v>0</v>
      </c>
      <c r="M23" s="32">
        <f t="array" ref="M23">IFERROR(INDEX(Signal_Engine!$X:$X,MATCH($B23,Signal_Engine!$A:$A,0)),0)</f>
        <v>0</v>
      </c>
      <c r="N23" s="33">
        <f t="array" ref="N23">IFERROR(INDEX(Signal_Engine!$Y:$Y,MATCH($B23,Signal_Engine!$A:$A,0)),0)</f>
        <v>0</v>
      </c>
      <c r="O23" s="33">
        <f t="array" ref="O23">IFERROR(INDEX(Signal_Engine!$Z:$Z,MATCH($B23,Signal_Engine!$A:$A,0)),0)</f>
        <v>0</v>
      </c>
      <c r="P23" s="33">
        <f t="array" ref="P23">IFERROR(INDEX(Signal_Engine!$AA:$AA,MATCH($B23,Signal_Engine!$A:$A,0)),0)</f>
        <v>0</v>
      </c>
      <c r="Q23" s="32" t="str">
        <f t="array" ref="Q23">IFERROR(INDEX(Signal_Engine!$AB:$AB,MATCH($B23,Signal_Engine!$A:$A,0)),"Neutral / Mixed")</f>
        <v>Neutral / Mixed</v>
      </c>
      <c r="R23" s="32" t="str">
        <f t="array" ref="R23">IFERROR(INDEX(Signal_Engine!$AC:$AC,MATCH($B23,Signal_Engine!$A:$A,0)),"0/4 Bullish | 0/4 Bearish | 0/4 Neutral")</f>
        <v>0/4 Bullish | 0/4 Bearish | 0/4 Neutral</v>
      </c>
      <c r="S23" s="32" t="str">
        <f t="array" ref="S23">IFERROR(INDEX(Signal_Engine!$AD:$AD,MATCH($B23,Signal_Engine!$A:$A,0)),"Mixed machine; wait for cleaner alignment.")</f>
        <v>Mixed machine; wait for cleaner alignment.</v>
      </c>
      <c r="Z23" s="32"/>
    </row>
    <row r="24" ht="15.75" customHeight="1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>
        <f t="array" ref="K24">IFERROR(INDEX(Signal_Engine!$V:$V,MATCH($B24,Signal_Engine!$A:$A,0)),0)</f>
        <v>0</v>
      </c>
      <c r="L24" s="32">
        <f t="array" ref="L24">IFERROR(INDEX(Signal_Engine!$W:$W,MATCH($B24,Signal_Engine!$A:$A,0)),0)</f>
        <v>0</v>
      </c>
      <c r="M24" s="32">
        <f t="array" ref="M24">IFERROR(INDEX(Signal_Engine!$X:$X,MATCH($B24,Signal_Engine!$A:$A,0)),0)</f>
        <v>0</v>
      </c>
      <c r="N24" s="33">
        <f t="array" ref="N24">IFERROR(INDEX(Signal_Engine!$Y:$Y,MATCH($B24,Signal_Engine!$A:$A,0)),0)</f>
        <v>0</v>
      </c>
      <c r="O24" s="33">
        <f t="array" ref="O24">IFERROR(INDEX(Signal_Engine!$Z:$Z,MATCH($B24,Signal_Engine!$A:$A,0)),0)</f>
        <v>0</v>
      </c>
      <c r="P24" s="33">
        <f t="array" ref="P24">IFERROR(INDEX(Signal_Engine!$AA:$AA,MATCH($B24,Signal_Engine!$A:$A,0)),0)</f>
        <v>0</v>
      </c>
      <c r="Q24" s="32" t="str">
        <f t="array" ref="Q24">IFERROR(INDEX(Signal_Engine!$AB:$AB,MATCH($B24,Signal_Engine!$A:$A,0)),"Neutral / Mixed")</f>
        <v>Neutral / Mixed</v>
      </c>
      <c r="R24" s="32" t="str">
        <f t="array" ref="R24">IFERROR(INDEX(Signal_Engine!$AC:$AC,MATCH($B24,Signal_Engine!$A:$A,0)),"0/4 Bullish | 0/4 Bearish | 0/4 Neutral")</f>
        <v>0/4 Bullish | 0/4 Bearish | 0/4 Neutral</v>
      </c>
      <c r="S24" s="32" t="str">
        <f t="array" ref="S24">IFERROR(INDEX(Signal_Engine!$AD:$AD,MATCH($B24,Signal_Engine!$A:$A,0)),"Mixed machine; wait for cleaner alignment.")</f>
        <v>Mixed machine; wait for cleaner alignment.</v>
      </c>
      <c r="Z24" s="32"/>
    </row>
    <row r="25" ht="15.75" customHeight="1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>
        <f t="array" ref="K25">IFERROR(INDEX(Signal_Engine!$V:$V,MATCH($B25,Signal_Engine!$A:$A,0)),0)</f>
        <v>0</v>
      </c>
      <c r="L25" s="32">
        <f t="array" ref="L25">IFERROR(INDEX(Signal_Engine!$W:$W,MATCH($B25,Signal_Engine!$A:$A,0)),0)</f>
        <v>0</v>
      </c>
      <c r="M25" s="32">
        <f t="array" ref="M25">IFERROR(INDEX(Signal_Engine!$X:$X,MATCH($B25,Signal_Engine!$A:$A,0)),0)</f>
        <v>0</v>
      </c>
      <c r="N25" s="33">
        <f t="array" ref="N25">IFERROR(INDEX(Signal_Engine!$Y:$Y,MATCH($B25,Signal_Engine!$A:$A,0)),0)</f>
        <v>0</v>
      </c>
      <c r="O25" s="33">
        <f t="array" ref="O25">IFERROR(INDEX(Signal_Engine!$Z:$Z,MATCH($B25,Signal_Engine!$A:$A,0)),0)</f>
        <v>0</v>
      </c>
      <c r="P25" s="33">
        <f t="array" ref="P25">IFERROR(INDEX(Signal_Engine!$AA:$AA,MATCH($B25,Signal_Engine!$A:$A,0)),0)</f>
        <v>0</v>
      </c>
      <c r="Q25" s="32" t="str">
        <f t="array" ref="Q25">IFERROR(INDEX(Signal_Engine!$AB:$AB,MATCH($B25,Signal_Engine!$A:$A,0)),"Neutral / Mixed")</f>
        <v>Neutral / Mixed</v>
      </c>
      <c r="R25" s="32" t="str">
        <f t="array" ref="R25">IFERROR(INDEX(Signal_Engine!$AC:$AC,MATCH($B25,Signal_Engine!$A:$A,0)),"0/4 Bullish | 0/4 Bearish | 0/4 Neutral")</f>
        <v>0/4 Bullish | 0/4 Bearish | 0/4 Neutral</v>
      </c>
      <c r="S25" s="32" t="str">
        <f t="array" ref="S25">IFERROR(INDEX(Signal_Engine!$AD:$AD,MATCH($B25,Signal_Engine!$A:$A,0)),"Mixed machine; wait for cleaner alignment.")</f>
        <v>Mixed machine; wait for cleaner alignment.</v>
      </c>
      <c r="Z25" s="32"/>
    </row>
    <row r="26" ht="15.7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>
        <f t="array" ref="K26">IFERROR(INDEX(Signal_Engine!$V:$V,MATCH($B26,Signal_Engine!$A:$A,0)),0)</f>
        <v>0</v>
      </c>
      <c r="L26" s="32">
        <f t="array" ref="L26">IFERROR(INDEX(Signal_Engine!$W:$W,MATCH($B26,Signal_Engine!$A:$A,0)),0)</f>
        <v>0</v>
      </c>
      <c r="M26" s="32">
        <f t="array" ref="M26">IFERROR(INDEX(Signal_Engine!$X:$X,MATCH($B26,Signal_Engine!$A:$A,0)),0)</f>
        <v>0</v>
      </c>
      <c r="N26" s="33">
        <f t="array" ref="N26">IFERROR(INDEX(Signal_Engine!$Y:$Y,MATCH($B26,Signal_Engine!$A:$A,0)),0)</f>
        <v>0</v>
      </c>
      <c r="O26" s="33">
        <f t="array" ref="O26">IFERROR(INDEX(Signal_Engine!$Z:$Z,MATCH($B26,Signal_Engine!$A:$A,0)),0)</f>
        <v>0</v>
      </c>
      <c r="P26" s="33">
        <f t="array" ref="P26">IFERROR(INDEX(Signal_Engine!$AA:$AA,MATCH($B26,Signal_Engine!$A:$A,0)),0)</f>
        <v>0</v>
      </c>
      <c r="Q26" s="32" t="str">
        <f t="array" ref="Q26">IFERROR(INDEX(Signal_Engine!$AB:$AB,MATCH($B26,Signal_Engine!$A:$A,0)),"Neutral / Mixed")</f>
        <v>Neutral / Mixed</v>
      </c>
      <c r="R26" s="32" t="str">
        <f t="array" ref="R26">IFERROR(INDEX(Signal_Engine!$AC:$AC,MATCH($B26,Signal_Engine!$A:$A,0)),"0/4 Bullish | 0/4 Bearish | 0/4 Neutral")</f>
        <v>0/4 Bullish | 0/4 Bearish | 0/4 Neutral</v>
      </c>
      <c r="S26" s="32" t="str">
        <f t="array" ref="S26">IFERROR(INDEX(Signal_Engine!$AD:$AD,MATCH($B26,Signal_Engine!$A:$A,0)),"Mixed machine; wait for cleaner alignment.")</f>
        <v>Mixed machine; wait for cleaner alignment.</v>
      </c>
      <c r="Z26" s="32"/>
    </row>
    <row r="27" ht="15.7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>
        <f t="array" ref="K27">IFERROR(INDEX(Signal_Engine!$V:$V,MATCH($B27,Signal_Engine!$A:$A,0)),0)</f>
        <v>0</v>
      </c>
      <c r="L27" s="32">
        <f t="array" ref="L27">IFERROR(INDEX(Signal_Engine!$W:$W,MATCH($B27,Signal_Engine!$A:$A,0)),0)</f>
        <v>0</v>
      </c>
      <c r="M27" s="32">
        <f t="array" ref="M27">IFERROR(INDEX(Signal_Engine!$X:$X,MATCH($B27,Signal_Engine!$A:$A,0)),0)</f>
        <v>0</v>
      </c>
      <c r="N27" s="33">
        <f t="array" ref="N27">IFERROR(INDEX(Signal_Engine!$Y:$Y,MATCH($B27,Signal_Engine!$A:$A,0)),0)</f>
        <v>0</v>
      </c>
      <c r="O27" s="33">
        <f t="array" ref="O27">IFERROR(INDEX(Signal_Engine!$Z:$Z,MATCH($B27,Signal_Engine!$A:$A,0)),0)</f>
        <v>0</v>
      </c>
      <c r="P27" s="33">
        <f t="array" ref="P27">IFERROR(INDEX(Signal_Engine!$AA:$AA,MATCH($B27,Signal_Engine!$A:$A,0)),0)</f>
        <v>0</v>
      </c>
      <c r="Q27" s="32" t="str">
        <f t="array" ref="Q27">IFERROR(INDEX(Signal_Engine!$AB:$AB,MATCH($B27,Signal_Engine!$A:$A,0)),"Neutral / Mixed")</f>
        <v>Neutral / Mixed</v>
      </c>
      <c r="R27" s="32" t="str">
        <f t="array" ref="R27">IFERROR(INDEX(Signal_Engine!$AC:$AC,MATCH($B27,Signal_Engine!$A:$A,0)),"0/4 Bullish | 0/4 Bearish | 0/4 Neutral")</f>
        <v>0/4 Bullish | 0/4 Bearish | 0/4 Neutral</v>
      </c>
      <c r="S27" s="32" t="str">
        <f t="array" ref="S27">IFERROR(INDEX(Signal_Engine!$AD:$AD,MATCH($B27,Signal_Engine!$A:$A,0)),"Mixed machine; wait for cleaner alignment.")</f>
        <v>Mixed machine; wait for cleaner alignment.</v>
      </c>
      <c r="Z27" s="32"/>
    </row>
    <row r="28" ht="15.75" customHeight="1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>
        <f t="array" ref="K28">IFERROR(INDEX(Signal_Engine!$V:$V,MATCH($B28,Signal_Engine!$A:$A,0)),0)</f>
        <v>0</v>
      </c>
      <c r="L28" s="32">
        <f t="array" ref="L28">IFERROR(INDEX(Signal_Engine!$W:$W,MATCH($B28,Signal_Engine!$A:$A,0)),0)</f>
        <v>0</v>
      </c>
      <c r="M28" s="32">
        <f t="array" ref="M28">IFERROR(INDEX(Signal_Engine!$X:$X,MATCH($B28,Signal_Engine!$A:$A,0)),0)</f>
        <v>0</v>
      </c>
      <c r="N28" s="33">
        <f t="array" ref="N28">IFERROR(INDEX(Signal_Engine!$Y:$Y,MATCH($B28,Signal_Engine!$A:$A,0)),0)</f>
        <v>0</v>
      </c>
      <c r="O28" s="33">
        <f t="array" ref="O28">IFERROR(INDEX(Signal_Engine!$Z:$Z,MATCH($B28,Signal_Engine!$A:$A,0)),0)</f>
        <v>0</v>
      </c>
      <c r="P28" s="33">
        <f t="array" ref="P28">IFERROR(INDEX(Signal_Engine!$AA:$AA,MATCH($B28,Signal_Engine!$A:$A,0)),0)</f>
        <v>0</v>
      </c>
      <c r="Q28" s="32" t="str">
        <f t="array" ref="Q28">IFERROR(INDEX(Signal_Engine!$AB:$AB,MATCH($B28,Signal_Engine!$A:$A,0)),"Neutral / Mixed")</f>
        <v>Neutral / Mixed</v>
      </c>
      <c r="R28" s="32" t="str">
        <f t="array" ref="R28">IFERROR(INDEX(Signal_Engine!$AC:$AC,MATCH($B28,Signal_Engine!$A:$A,0)),"0/4 Bullish | 0/4 Bearish | 0/4 Neutral")</f>
        <v>0/4 Bullish | 0/4 Bearish | 0/4 Neutral</v>
      </c>
      <c r="S28" s="32" t="str">
        <f t="array" ref="S28">IFERROR(INDEX(Signal_Engine!$AD:$AD,MATCH($B28,Signal_Engine!$A:$A,0)),"Mixed machine; wait for cleaner alignment.")</f>
        <v>Mixed machine; wait for cleaner alignment.</v>
      </c>
      <c r="Z28" s="32"/>
    </row>
    <row r="29" ht="15.75" customHeight="1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>
        <f t="array" ref="K29">IFERROR(INDEX(Signal_Engine!$V:$V,MATCH($B29,Signal_Engine!$A:$A,0)),0)</f>
        <v>0</v>
      </c>
      <c r="L29" s="32">
        <f t="array" ref="L29">IFERROR(INDEX(Signal_Engine!$W:$W,MATCH($B29,Signal_Engine!$A:$A,0)),0)</f>
        <v>0</v>
      </c>
      <c r="M29" s="32">
        <f t="array" ref="M29">IFERROR(INDEX(Signal_Engine!$X:$X,MATCH($B29,Signal_Engine!$A:$A,0)),0)</f>
        <v>0</v>
      </c>
      <c r="N29" s="33">
        <f t="array" ref="N29">IFERROR(INDEX(Signal_Engine!$Y:$Y,MATCH($B29,Signal_Engine!$A:$A,0)),0)</f>
        <v>0</v>
      </c>
      <c r="O29" s="33">
        <f t="array" ref="O29">IFERROR(INDEX(Signal_Engine!$Z:$Z,MATCH($B29,Signal_Engine!$A:$A,0)),0)</f>
        <v>0</v>
      </c>
      <c r="P29" s="33">
        <f t="array" ref="P29">IFERROR(INDEX(Signal_Engine!$AA:$AA,MATCH($B29,Signal_Engine!$A:$A,0)),0)</f>
        <v>0</v>
      </c>
      <c r="Q29" s="32" t="str">
        <f t="array" ref="Q29">IFERROR(INDEX(Signal_Engine!$AB:$AB,MATCH($B29,Signal_Engine!$A:$A,0)),"Neutral / Mixed")</f>
        <v>Neutral / Mixed</v>
      </c>
      <c r="R29" s="32" t="str">
        <f t="array" ref="R29">IFERROR(INDEX(Signal_Engine!$AC:$AC,MATCH($B29,Signal_Engine!$A:$A,0)),"0/4 Bullish | 0/4 Bearish | 0/4 Neutral")</f>
        <v>0/4 Bullish | 0/4 Bearish | 0/4 Neutral</v>
      </c>
      <c r="S29" s="32" t="str">
        <f t="array" ref="S29">IFERROR(INDEX(Signal_Engine!$AD:$AD,MATCH($B29,Signal_Engine!$A:$A,0)),"Mixed machine; wait for cleaner alignment.")</f>
        <v>Mixed machine; wait for cleaner alignment.</v>
      </c>
      <c r="Z29" s="32"/>
    </row>
    <row r="30" ht="15.7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>
        <f t="array" ref="K30">IFERROR(INDEX(Signal_Engine!$V:$V,MATCH($B30,Signal_Engine!$A:$A,0)),0)</f>
        <v>0</v>
      </c>
      <c r="L30" s="32">
        <f t="array" ref="L30">IFERROR(INDEX(Signal_Engine!$W:$W,MATCH($B30,Signal_Engine!$A:$A,0)),0)</f>
        <v>0</v>
      </c>
      <c r="M30" s="32">
        <f t="array" ref="M30">IFERROR(INDEX(Signal_Engine!$X:$X,MATCH($B30,Signal_Engine!$A:$A,0)),0)</f>
        <v>0</v>
      </c>
      <c r="N30" s="33">
        <f t="array" ref="N30">IFERROR(INDEX(Signal_Engine!$Y:$Y,MATCH($B30,Signal_Engine!$A:$A,0)),0)</f>
        <v>0</v>
      </c>
      <c r="O30" s="33">
        <f t="array" ref="O30">IFERROR(INDEX(Signal_Engine!$Z:$Z,MATCH($B30,Signal_Engine!$A:$A,0)),0)</f>
        <v>0</v>
      </c>
      <c r="P30" s="33">
        <f t="array" ref="P30">IFERROR(INDEX(Signal_Engine!$AA:$AA,MATCH($B30,Signal_Engine!$A:$A,0)),0)</f>
        <v>0</v>
      </c>
      <c r="Q30" s="32" t="str">
        <f t="array" ref="Q30">IFERROR(INDEX(Signal_Engine!$AB:$AB,MATCH($B30,Signal_Engine!$A:$A,0)),"Neutral / Mixed")</f>
        <v>Neutral / Mixed</v>
      </c>
      <c r="R30" s="32" t="str">
        <f t="array" ref="R30">IFERROR(INDEX(Signal_Engine!$AC:$AC,MATCH($B30,Signal_Engine!$A:$A,0)),"0/4 Bullish | 0/4 Bearish | 0/4 Neutral")</f>
        <v>0/4 Bullish | 0/4 Bearish | 0/4 Neutral</v>
      </c>
      <c r="S30" s="32" t="str">
        <f t="array" ref="S30">IFERROR(INDEX(Signal_Engine!$AD:$AD,MATCH($B30,Signal_Engine!$A:$A,0)),"Mixed machine; wait for cleaner alignment.")</f>
        <v>Mixed machine; wait for cleaner alignment.</v>
      </c>
      <c r="Z30" s="32"/>
    </row>
    <row r="31" ht="15.7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>
        <f t="array" ref="K31">IFERROR(INDEX(Signal_Engine!$V:$V,MATCH($B31,Signal_Engine!$A:$A,0)),0)</f>
        <v>0</v>
      </c>
      <c r="L31" s="32">
        <f t="array" ref="L31">IFERROR(INDEX(Signal_Engine!$W:$W,MATCH($B31,Signal_Engine!$A:$A,0)),0)</f>
        <v>0</v>
      </c>
      <c r="M31" s="32">
        <f t="array" ref="M31">IFERROR(INDEX(Signal_Engine!$X:$X,MATCH($B31,Signal_Engine!$A:$A,0)),0)</f>
        <v>0</v>
      </c>
      <c r="N31" s="33">
        <f t="array" ref="N31">IFERROR(INDEX(Signal_Engine!$Y:$Y,MATCH($B31,Signal_Engine!$A:$A,0)),0)</f>
        <v>0</v>
      </c>
      <c r="O31" s="33">
        <f t="array" ref="O31">IFERROR(INDEX(Signal_Engine!$Z:$Z,MATCH($B31,Signal_Engine!$A:$A,0)),0)</f>
        <v>0</v>
      </c>
      <c r="P31" s="33">
        <f t="array" ref="P31">IFERROR(INDEX(Signal_Engine!$AA:$AA,MATCH($B31,Signal_Engine!$A:$A,0)),0)</f>
        <v>0</v>
      </c>
      <c r="Q31" s="32" t="str">
        <f t="array" ref="Q31">IFERROR(INDEX(Signal_Engine!$AB:$AB,MATCH($B31,Signal_Engine!$A:$A,0)),"Neutral / Mixed")</f>
        <v>Neutral / Mixed</v>
      </c>
      <c r="R31" s="32" t="str">
        <f t="array" ref="R31">IFERROR(INDEX(Signal_Engine!$AC:$AC,MATCH($B31,Signal_Engine!$A:$A,0)),"0/4 Bullish | 0/4 Bearish | 0/4 Neutral")</f>
        <v>0/4 Bullish | 0/4 Bearish | 0/4 Neutral</v>
      </c>
      <c r="S31" s="32" t="str">
        <f t="array" ref="S31">IFERROR(INDEX(Signal_Engine!$AD:$AD,MATCH($B31,Signal_Engine!$A:$A,0)),"Mixed machine; wait for cleaner alignment.")</f>
        <v>Mixed machine; wait for cleaner alignment.</v>
      </c>
      <c r="Z31" s="32"/>
    </row>
    <row r="32" ht="15.75" customHeight="1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>
        <f t="array" ref="K32">IFERROR(INDEX(Signal_Engine!$V:$V,MATCH($B32,Signal_Engine!$A:$A,0)),0)</f>
        <v>0</v>
      </c>
      <c r="L32" s="32">
        <f t="array" ref="L32">IFERROR(INDEX(Signal_Engine!$W:$W,MATCH($B32,Signal_Engine!$A:$A,0)),0)</f>
        <v>0</v>
      </c>
      <c r="M32" s="32">
        <f t="array" ref="M32">IFERROR(INDEX(Signal_Engine!$X:$X,MATCH($B32,Signal_Engine!$A:$A,0)),0)</f>
        <v>0</v>
      </c>
      <c r="N32" s="33">
        <f t="array" ref="N32">IFERROR(INDEX(Signal_Engine!$Y:$Y,MATCH($B32,Signal_Engine!$A:$A,0)),0)</f>
        <v>0</v>
      </c>
      <c r="O32" s="33">
        <f t="array" ref="O32">IFERROR(INDEX(Signal_Engine!$Z:$Z,MATCH($B32,Signal_Engine!$A:$A,0)),0)</f>
        <v>0</v>
      </c>
      <c r="P32" s="33">
        <f t="array" ref="P32">IFERROR(INDEX(Signal_Engine!$AA:$AA,MATCH($B32,Signal_Engine!$A:$A,0)),0)</f>
        <v>0</v>
      </c>
      <c r="Q32" s="32" t="str">
        <f t="array" ref="Q32">IFERROR(INDEX(Signal_Engine!$AB:$AB,MATCH($B32,Signal_Engine!$A:$A,0)),"Neutral / Mixed")</f>
        <v>Neutral / Mixed</v>
      </c>
      <c r="R32" s="32" t="str">
        <f t="array" ref="R32">IFERROR(INDEX(Signal_Engine!$AC:$AC,MATCH($B32,Signal_Engine!$A:$A,0)),"0/4 Bullish | 0/4 Bearish | 0/4 Neutral")</f>
        <v>0/4 Bullish | 0/4 Bearish | 0/4 Neutral</v>
      </c>
      <c r="S32" s="32" t="str">
        <f t="array" ref="S32">IFERROR(INDEX(Signal_Engine!$AD:$AD,MATCH($B32,Signal_Engine!$A:$A,0)),"Mixed machine; wait for cleaner alignment.")</f>
        <v>Mixed machine; wait for cleaner alignment.</v>
      </c>
      <c r="Z32" s="32"/>
    </row>
    <row r="33" ht="15.7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>
        <f t="array" ref="K33">IFERROR(INDEX(Signal_Engine!$V:$V,MATCH($B33,Signal_Engine!$A:$A,0)),0)</f>
        <v>0</v>
      </c>
      <c r="L33" s="32">
        <f t="array" ref="L33">IFERROR(INDEX(Signal_Engine!$W:$W,MATCH($B33,Signal_Engine!$A:$A,0)),0)</f>
        <v>0</v>
      </c>
      <c r="M33" s="32">
        <f t="array" ref="M33">IFERROR(INDEX(Signal_Engine!$X:$X,MATCH($B33,Signal_Engine!$A:$A,0)),0)</f>
        <v>0</v>
      </c>
      <c r="N33" s="33">
        <f t="array" ref="N33">IFERROR(INDEX(Signal_Engine!$Y:$Y,MATCH($B33,Signal_Engine!$A:$A,0)),0)</f>
        <v>0</v>
      </c>
      <c r="O33" s="33">
        <f t="array" ref="O33">IFERROR(INDEX(Signal_Engine!$Z:$Z,MATCH($B33,Signal_Engine!$A:$A,0)),0)</f>
        <v>0</v>
      </c>
      <c r="P33" s="33">
        <f t="array" ref="P33">IFERROR(INDEX(Signal_Engine!$AA:$AA,MATCH($B33,Signal_Engine!$A:$A,0)),0)</f>
        <v>0</v>
      </c>
      <c r="Q33" s="32" t="str">
        <f t="array" ref="Q33">IFERROR(INDEX(Signal_Engine!$AB:$AB,MATCH($B33,Signal_Engine!$A:$A,0)),"Neutral / Mixed")</f>
        <v>Neutral / Mixed</v>
      </c>
      <c r="R33" s="32" t="str">
        <f t="array" ref="R33">IFERROR(INDEX(Signal_Engine!$AC:$AC,MATCH($B33,Signal_Engine!$A:$A,0)),"0/4 Bullish | 0/4 Bearish | 0/4 Neutral")</f>
        <v>0/4 Bullish | 0/4 Bearish | 0/4 Neutral</v>
      </c>
      <c r="S33" s="32" t="str">
        <f t="array" ref="S33">IFERROR(INDEX(Signal_Engine!$AD:$AD,MATCH($B33,Signal_Engine!$A:$A,0)),"Mixed machine; wait for cleaner alignment.")</f>
        <v>Mixed machine; wait for cleaner alignment.</v>
      </c>
      <c r="Z33" s="32"/>
    </row>
    <row r="34" ht="15.75" customHeight="1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>
        <f t="array" ref="K34">IFERROR(INDEX(Signal_Engine!$V:$V,MATCH($B34,Signal_Engine!$A:$A,0)),0)</f>
        <v>0</v>
      </c>
      <c r="L34" s="32">
        <f t="array" ref="L34">IFERROR(INDEX(Signal_Engine!$W:$W,MATCH($B34,Signal_Engine!$A:$A,0)),0)</f>
        <v>0</v>
      </c>
      <c r="M34" s="32">
        <f t="array" ref="M34">IFERROR(INDEX(Signal_Engine!$X:$X,MATCH($B34,Signal_Engine!$A:$A,0)),0)</f>
        <v>0</v>
      </c>
      <c r="N34" s="33">
        <f t="array" ref="N34">IFERROR(INDEX(Signal_Engine!$Y:$Y,MATCH($B34,Signal_Engine!$A:$A,0)),0)</f>
        <v>0</v>
      </c>
      <c r="O34" s="33">
        <f t="array" ref="O34">IFERROR(INDEX(Signal_Engine!$Z:$Z,MATCH($B34,Signal_Engine!$A:$A,0)),0)</f>
        <v>0</v>
      </c>
      <c r="P34" s="33">
        <f t="array" ref="P34">IFERROR(INDEX(Signal_Engine!$AA:$AA,MATCH($B34,Signal_Engine!$A:$A,0)),0)</f>
        <v>0</v>
      </c>
      <c r="Q34" s="32" t="str">
        <f t="array" ref="Q34">IFERROR(INDEX(Signal_Engine!$AB:$AB,MATCH($B34,Signal_Engine!$A:$A,0)),"Neutral / Mixed")</f>
        <v>Neutral / Mixed</v>
      </c>
      <c r="R34" s="32" t="str">
        <f t="array" ref="R34">IFERROR(INDEX(Signal_Engine!$AC:$AC,MATCH($B34,Signal_Engine!$A:$A,0)),"0/4 Bullish | 0/4 Bearish | 0/4 Neutral")</f>
        <v>0/4 Bullish | 0/4 Bearish | 0/4 Neutral</v>
      </c>
      <c r="S34" s="32" t="str">
        <f t="array" ref="S34">IFERROR(INDEX(Signal_Engine!$AD:$AD,MATCH($B34,Signal_Engine!$A:$A,0)),"Mixed machine; wait for cleaner alignment.")</f>
        <v>Mixed machine; wait for cleaner alignment.</v>
      </c>
      <c r="Z34" s="32"/>
    </row>
    <row r="35" ht="15.75" customHeight="1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>
        <f t="array" ref="K35">IFERROR(INDEX(Signal_Engine!$V:$V,MATCH($B35,Signal_Engine!$A:$A,0)),0)</f>
        <v>0</v>
      </c>
      <c r="L35" s="32">
        <f t="array" ref="L35">IFERROR(INDEX(Signal_Engine!$W:$W,MATCH($B35,Signal_Engine!$A:$A,0)),0)</f>
        <v>0</v>
      </c>
      <c r="M35" s="32">
        <f t="array" ref="M35">IFERROR(INDEX(Signal_Engine!$X:$X,MATCH($B35,Signal_Engine!$A:$A,0)),0)</f>
        <v>0</v>
      </c>
      <c r="N35" s="33">
        <f t="array" ref="N35">IFERROR(INDEX(Signal_Engine!$Y:$Y,MATCH($B35,Signal_Engine!$A:$A,0)),0)</f>
        <v>0</v>
      </c>
      <c r="O35" s="33">
        <f t="array" ref="O35">IFERROR(INDEX(Signal_Engine!$Z:$Z,MATCH($B35,Signal_Engine!$A:$A,0)),0)</f>
        <v>0</v>
      </c>
      <c r="P35" s="33">
        <f t="array" ref="P35">IFERROR(INDEX(Signal_Engine!$AA:$AA,MATCH($B35,Signal_Engine!$A:$A,0)),0)</f>
        <v>0</v>
      </c>
      <c r="Q35" s="32" t="str">
        <f t="array" ref="Q35">IFERROR(INDEX(Signal_Engine!$AB:$AB,MATCH($B35,Signal_Engine!$A:$A,0)),"Neutral / Mixed")</f>
        <v>Neutral / Mixed</v>
      </c>
      <c r="R35" s="32" t="str">
        <f t="array" ref="R35">IFERROR(INDEX(Signal_Engine!$AC:$AC,MATCH($B35,Signal_Engine!$A:$A,0)),"0/4 Bullish | 0/4 Bearish | 0/4 Neutral")</f>
        <v>0/4 Bullish | 0/4 Bearish | 0/4 Neutral</v>
      </c>
      <c r="S35" s="32" t="str">
        <f t="array" ref="S35">IFERROR(INDEX(Signal_Engine!$AD:$AD,MATCH($B35,Signal_Engine!$A:$A,0)),"Mixed machine; wait for cleaner alignment.")</f>
        <v>Mixed machine; wait for cleaner alignment.</v>
      </c>
      <c r="Z35" s="32"/>
    </row>
    <row r="36" ht="15.75" customHeight="1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>
        <f t="array" ref="K36">IFERROR(INDEX(Signal_Engine!$V:$V,MATCH($B36,Signal_Engine!$A:$A,0)),0)</f>
        <v>0</v>
      </c>
      <c r="L36" s="32">
        <f t="array" ref="L36">IFERROR(INDEX(Signal_Engine!$W:$W,MATCH($B36,Signal_Engine!$A:$A,0)),0)</f>
        <v>0</v>
      </c>
      <c r="M36" s="32">
        <f t="array" ref="M36">IFERROR(INDEX(Signal_Engine!$X:$X,MATCH($B36,Signal_Engine!$A:$A,0)),0)</f>
        <v>0</v>
      </c>
      <c r="N36" s="33">
        <f t="array" ref="N36">IFERROR(INDEX(Signal_Engine!$Y:$Y,MATCH($B36,Signal_Engine!$A:$A,0)),0)</f>
        <v>0</v>
      </c>
      <c r="O36" s="33">
        <f t="array" ref="O36">IFERROR(INDEX(Signal_Engine!$Z:$Z,MATCH($B36,Signal_Engine!$A:$A,0)),0)</f>
        <v>0</v>
      </c>
      <c r="P36" s="33">
        <f t="array" ref="P36">IFERROR(INDEX(Signal_Engine!$AA:$AA,MATCH($B36,Signal_Engine!$A:$A,0)),0)</f>
        <v>0</v>
      </c>
      <c r="Q36" s="32" t="str">
        <f t="array" ref="Q36">IFERROR(INDEX(Signal_Engine!$AB:$AB,MATCH($B36,Signal_Engine!$A:$A,0)),"Neutral / Mixed")</f>
        <v>Neutral / Mixed</v>
      </c>
      <c r="R36" s="32" t="str">
        <f t="array" ref="R36">IFERROR(INDEX(Signal_Engine!$AC:$AC,MATCH($B36,Signal_Engine!$A:$A,0)),"0/4 Bullish | 0/4 Bearish | 0/4 Neutral")</f>
        <v>0/4 Bullish | 0/4 Bearish | 0/4 Neutral</v>
      </c>
      <c r="S36" s="32" t="str">
        <f t="array" ref="S36">IFERROR(INDEX(Signal_Engine!$AD:$AD,MATCH($B36,Signal_Engine!$A:$A,0)),"Mixed machine; wait for cleaner alignment.")</f>
        <v>Mixed machine; wait for cleaner alignment.</v>
      </c>
      <c r="Z36" s="32"/>
    </row>
    <row r="37" ht="15.75" customHeight="1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>
        <f t="array" ref="K37">IFERROR(INDEX(Signal_Engine!$V:$V,MATCH($B37,Signal_Engine!$A:$A,0)),0)</f>
        <v>0</v>
      </c>
      <c r="L37" s="32">
        <f t="array" ref="L37">IFERROR(INDEX(Signal_Engine!$W:$W,MATCH($B37,Signal_Engine!$A:$A,0)),0)</f>
        <v>0</v>
      </c>
      <c r="M37" s="32">
        <f t="array" ref="M37">IFERROR(INDEX(Signal_Engine!$X:$X,MATCH($B37,Signal_Engine!$A:$A,0)),0)</f>
        <v>0</v>
      </c>
      <c r="N37" s="33">
        <f t="array" ref="N37">IFERROR(INDEX(Signal_Engine!$Y:$Y,MATCH($B37,Signal_Engine!$A:$A,0)),0)</f>
        <v>0</v>
      </c>
      <c r="O37" s="33">
        <f t="array" ref="O37">IFERROR(INDEX(Signal_Engine!$Z:$Z,MATCH($B37,Signal_Engine!$A:$A,0)),0)</f>
        <v>0</v>
      </c>
      <c r="P37" s="33">
        <f t="array" ref="P37">IFERROR(INDEX(Signal_Engine!$AA:$AA,MATCH($B37,Signal_Engine!$A:$A,0)),0)</f>
        <v>0</v>
      </c>
      <c r="Q37" s="32" t="str">
        <f t="array" ref="Q37">IFERROR(INDEX(Signal_Engine!$AB:$AB,MATCH($B37,Signal_Engine!$A:$A,0)),"Neutral / Mixed")</f>
        <v>Neutral / Mixed</v>
      </c>
      <c r="R37" s="32" t="str">
        <f t="array" ref="R37">IFERROR(INDEX(Signal_Engine!$AC:$AC,MATCH($B37,Signal_Engine!$A:$A,0)),"0/4 Bullish | 0/4 Bearish | 0/4 Neutral")</f>
        <v>0/4 Bullish | 0/4 Bearish | 0/4 Neutral</v>
      </c>
      <c r="S37" s="32" t="str">
        <f t="array" ref="S37">IFERROR(INDEX(Signal_Engine!$AD:$AD,MATCH($B37,Signal_Engine!$A:$A,0)),"Mixed machine; wait for cleaner alignment.")</f>
        <v>Mixed machine; wait for cleaner alignment.</v>
      </c>
      <c r="Z37" s="32"/>
    </row>
    <row r="38" ht="15.75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>
        <f t="array" ref="K38">IFERROR(INDEX(Signal_Engine!$V:$V,MATCH($B38,Signal_Engine!$A:$A,0)),0)</f>
        <v>0</v>
      </c>
      <c r="L38" s="32">
        <f t="array" ref="L38">IFERROR(INDEX(Signal_Engine!$W:$W,MATCH($B38,Signal_Engine!$A:$A,0)),0)</f>
        <v>0</v>
      </c>
      <c r="M38" s="32">
        <f t="array" ref="M38">IFERROR(INDEX(Signal_Engine!$X:$X,MATCH($B38,Signal_Engine!$A:$A,0)),0)</f>
        <v>0</v>
      </c>
      <c r="N38" s="33">
        <f t="array" ref="N38">IFERROR(INDEX(Signal_Engine!$Y:$Y,MATCH($B38,Signal_Engine!$A:$A,0)),0)</f>
        <v>0</v>
      </c>
      <c r="O38" s="33">
        <f t="array" ref="O38">IFERROR(INDEX(Signal_Engine!$Z:$Z,MATCH($B38,Signal_Engine!$A:$A,0)),0)</f>
        <v>0</v>
      </c>
      <c r="P38" s="33">
        <f t="array" ref="P38">IFERROR(INDEX(Signal_Engine!$AA:$AA,MATCH($B38,Signal_Engine!$A:$A,0)),0)</f>
        <v>0</v>
      </c>
      <c r="Q38" s="32" t="str">
        <f t="array" ref="Q38">IFERROR(INDEX(Signal_Engine!$AB:$AB,MATCH($B38,Signal_Engine!$A:$A,0)),"Neutral / Mixed")</f>
        <v>Neutral / Mixed</v>
      </c>
      <c r="R38" s="32" t="str">
        <f t="array" ref="R38">IFERROR(INDEX(Signal_Engine!$AC:$AC,MATCH($B38,Signal_Engine!$A:$A,0)),"0/4 Bullish | 0/4 Bearish | 0/4 Neutral")</f>
        <v>0/4 Bullish | 0/4 Bearish | 0/4 Neutral</v>
      </c>
      <c r="S38" s="32" t="str">
        <f t="array" ref="S38">IFERROR(INDEX(Signal_Engine!$AD:$AD,MATCH($B38,Signal_Engine!$A:$A,0)),"Mixed machine; wait for cleaner alignment.")</f>
        <v>Mixed machine; wait for cleaner alignment.</v>
      </c>
      <c r="Z38" s="32"/>
    </row>
    <row r="39" ht="15.7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>
        <f t="array" ref="K39">IFERROR(INDEX(Signal_Engine!$V:$V,MATCH($B39,Signal_Engine!$A:$A,0)),0)</f>
        <v>0</v>
      </c>
      <c r="L39" s="32">
        <f t="array" ref="L39">IFERROR(INDEX(Signal_Engine!$W:$W,MATCH($B39,Signal_Engine!$A:$A,0)),0)</f>
        <v>0</v>
      </c>
      <c r="M39" s="32">
        <f t="array" ref="M39">IFERROR(INDEX(Signal_Engine!$X:$X,MATCH($B39,Signal_Engine!$A:$A,0)),0)</f>
        <v>0</v>
      </c>
      <c r="N39" s="33">
        <f t="array" ref="N39">IFERROR(INDEX(Signal_Engine!$Y:$Y,MATCH($B39,Signal_Engine!$A:$A,0)),0)</f>
        <v>0</v>
      </c>
      <c r="O39" s="33">
        <f t="array" ref="O39">IFERROR(INDEX(Signal_Engine!$Z:$Z,MATCH($B39,Signal_Engine!$A:$A,0)),0)</f>
        <v>0</v>
      </c>
      <c r="P39" s="33">
        <f t="array" ref="P39">IFERROR(INDEX(Signal_Engine!$AA:$AA,MATCH($B39,Signal_Engine!$A:$A,0)),0)</f>
        <v>0</v>
      </c>
      <c r="Q39" s="32" t="str">
        <f t="array" ref="Q39">IFERROR(INDEX(Signal_Engine!$AB:$AB,MATCH($B39,Signal_Engine!$A:$A,0)),"Neutral / Mixed")</f>
        <v>Neutral / Mixed</v>
      </c>
      <c r="R39" s="32" t="str">
        <f t="array" ref="R39">IFERROR(INDEX(Signal_Engine!$AC:$AC,MATCH($B39,Signal_Engine!$A:$A,0)),"0/4 Bullish | 0/4 Bearish | 0/4 Neutral")</f>
        <v>0/4 Bullish | 0/4 Bearish | 0/4 Neutral</v>
      </c>
      <c r="S39" s="32" t="str">
        <f t="array" ref="S39">IFERROR(INDEX(Signal_Engine!$AD:$AD,MATCH($B39,Signal_Engine!$A:$A,0)),"Mixed machine; wait for cleaner alignment.")</f>
        <v>Mixed machine; wait for cleaner alignment.</v>
      </c>
      <c r="Z39" s="32"/>
    </row>
    <row r="40" ht="15.75" customHeight="1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>
        <f t="array" ref="K40">IFERROR(INDEX(Signal_Engine!$V:$V,MATCH($B40,Signal_Engine!$A:$A,0)),0)</f>
        <v>0</v>
      </c>
      <c r="L40" s="32">
        <f t="array" ref="L40">IFERROR(INDEX(Signal_Engine!$W:$W,MATCH($B40,Signal_Engine!$A:$A,0)),0)</f>
        <v>0</v>
      </c>
      <c r="M40" s="32">
        <f t="array" ref="M40">IFERROR(INDEX(Signal_Engine!$X:$X,MATCH($B40,Signal_Engine!$A:$A,0)),0)</f>
        <v>0</v>
      </c>
      <c r="N40" s="33">
        <f t="array" ref="N40">IFERROR(INDEX(Signal_Engine!$Y:$Y,MATCH($B40,Signal_Engine!$A:$A,0)),0)</f>
        <v>0</v>
      </c>
      <c r="O40" s="33">
        <f t="array" ref="O40">IFERROR(INDEX(Signal_Engine!$Z:$Z,MATCH($B40,Signal_Engine!$A:$A,0)),0)</f>
        <v>0</v>
      </c>
      <c r="P40" s="33">
        <f t="array" ref="P40">IFERROR(INDEX(Signal_Engine!$AA:$AA,MATCH($B40,Signal_Engine!$A:$A,0)),0)</f>
        <v>0</v>
      </c>
      <c r="Q40" s="32" t="str">
        <f t="array" ref="Q40">IFERROR(INDEX(Signal_Engine!$AB:$AB,MATCH($B40,Signal_Engine!$A:$A,0)),"Neutral / Mixed")</f>
        <v>Neutral / Mixed</v>
      </c>
      <c r="R40" s="32" t="str">
        <f t="array" ref="R40">IFERROR(INDEX(Signal_Engine!$AC:$AC,MATCH($B40,Signal_Engine!$A:$A,0)),"0/4 Bullish | 0/4 Bearish | 0/4 Neutral")</f>
        <v>0/4 Bullish | 0/4 Bearish | 0/4 Neutral</v>
      </c>
      <c r="S40" s="32" t="str">
        <f t="array" ref="S40">IFERROR(INDEX(Signal_Engine!$AD:$AD,MATCH($B40,Signal_Engine!$A:$A,0)),"Mixed machine; wait for cleaner alignment.")</f>
        <v>Mixed machine; wait for cleaner alignment.</v>
      </c>
      <c r="Z40" s="32"/>
    </row>
    <row r="41" ht="15.7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>
        <f t="array" ref="K41">IFERROR(INDEX(Signal_Engine!$V:$V,MATCH($B41,Signal_Engine!$A:$A,0)),0)</f>
        <v>0</v>
      </c>
      <c r="L41" s="32">
        <f t="array" ref="L41">IFERROR(INDEX(Signal_Engine!$W:$W,MATCH($B41,Signal_Engine!$A:$A,0)),0)</f>
        <v>0</v>
      </c>
      <c r="M41" s="32">
        <f t="array" ref="M41">IFERROR(INDEX(Signal_Engine!$X:$X,MATCH($B41,Signal_Engine!$A:$A,0)),0)</f>
        <v>0</v>
      </c>
      <c r="N41" s="33">
        <f t="array" ref="N41">IFERROR(INDEX(Signal_Engine!$Y:$Y,MATCH($B41,Signal_Engine!$A:$A,0)),0)</f>
        <v>0</v>
      </c>
      <c r="O41" s="33">
        <f t="array" ref="O41">IFERROR(INDEX(Signal_Engine!$Z:$Z,MATCH($B41,Signal_Engine!$A:$A,0)),0)</f>
        <v>0</v>
      </c>
      <c r="P41" s="33">
        <f t="array" ref="P41">IFERROR(INDEX(Signal_Engine!$AA:$AA,MATCH($B41,Signal_Engine!$A:$A,0)),0)</f>
        <v>0</v>
      </c>
      <c r="Q41" s="32" t="str">
        <f t="array" ref="Q41">IFERROR(INDEX(Signal_Engine!$AB:$AB,MATCH($B41,Signal_Engine!$A:$A,0)),"Neutral / Mixed")</f>
        <v>Neutral / Mixed</v>
      </c>
      <c r="R41" s="32" t="str">
        <f t="array" ref="R41">IFERROR(INDEX(Signal_Engine!$AC:$AC,MATCH($B41,Signal_Engine!$A:$A,0)),"0/4 Bullish | 0/4 Bearish | 0/4 Neutral")</f>
        <v>0/4 Bullish | 0/4 Bearish | 0/4 Neutral</v>
      </c>
      <c r="S41" s="32" t="str">
        <f t="array" ref="S41">IFERROR(INDEX(Signal_Engine!$AD:$AD,MATCH($B41,Signal_Engine!$A:$A,0)),"Mixed machine; wait for cleaner alignment.")</f>
        <v>Mixed machine; wait for cleaner alignment.</v>
      </c>
      <c r="Z41" s="32"/>
    </row>
    <row r="42" ht="15.75" customHeight="1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>
        <f t="array" ref="K42">IFERROR(INDEX(Signal_Engine!$V:$V,MATCH($B42,Signal_Engine!$A:$A,0)),0)</f>
        <v>0</v>
      </c>
      <c r="L42" s="32">
        <f t="array" ref="L42">IFERROR(INDEX(Signal_Engine!$W:$W,MATCH($B42,Signal_Engine!$A:$A,0)),0)</f>
        <v>0</v>
      </c>
      <c r="M42" s="32">
        <f t="array" ref="M42">IFERROR(INDEX(Signal_Engine!$X:$X,MATCH($B42,Signal_Engine!$A:$A,0)),0)</f>
        <v>0</v>
      </c>
      <c r="N42" s="33">
        <f t="array" ref="N42">IFERROR(INDEX(Signal_Engine!$Y:$Y,MATCH($B42,Signal_Engine!$A:$A,0)),0)</f>
        <v>0</v>
      </c>
      <c r="O42" s="33">
        <f t="array" ref="O42">IFERROR(INDEX(Signal_Engine!$Z:$Z,MATCH($B42,Signal_Engine!$A:$A,0)),0)</f>
        <v>0</v>
      </c>
      <c r="P42" s="33">
        <f t="array" ref="P42">IFERROR(INDEX(Signal_Engine!$AA:$AA,MATCH($B42,Signal_Engine!$A:$A,0)),0)</f>
        <v>0</v>
      </c>
      <c r="Q42" s="32" t="str">
        <f t="array" ref="Q42">IFERROR(INDEX(Signal_Engine!$AB:$AB,MATCH($B42,Signal_Engine!$A:$A,0)),"Neutral / Mixed")</f>
        <v>Neutral / Mixed</v>
      </c>
      <c r="R42" s="32" t="str">
        <f t="array" ref="R42">IFERROR(INDEX(Signal_Engine!$AC:$AC,MATCH($B42,Signal_Engine!$A:$A,0)),"0/4 Bullish | 0/4 Bearish | 0/4 Neutral")</f>
        <v>0/4 Bullish | 0/4 Bearish | 0/4 Neutral</v>
      </c>
      <c r="S42" s="32" t="str">
        <f t="array" ref="S42">IFERROR(INDEX(Signal_Engine!$AD:$AD,MATCH($B42,Signal_Engine!$A:$A,0)),"Mixed machine; wait for cleaner alignment.")</f>
        <v>Mixed machine; wait for cleaner alignment.</v>
      </c>
      <c r="Z42" s="32"/>
    </row>
    <row r="43" ht="15.7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>
        <f t="array" ref="K43">IFERROR(INDEX(Signal_Engine!$V:$V,MATCH($B43,Signal_Engine!$A:$A,0)),0)</f>
        <v>0</v>
      </c>
      <c r="L43" s="32">
        <f t="array" ref="L43">IFERROR(INDEX(Signal_Engine!$W:$W,MATCH($B43,Signal_Engine!$A:$A,0)),0)</f>
        <v>0</v>
      </c>
      <c r="M43" s="32">
        <f t="array" ref="M43">IFERROR(INDEX(Signal_Engine!$X:$X,MATCH($B43,Signal_Engine!$A:$A,0)),0)</f>
        <v>0</v>
      </c>
      <c r="N43" s="33">
        <f t="array" ref="N43">IFERROR(INDEX(Signal_Engine!$Y:$Y,MATCH($B43,Signal_Engine!$A:$A,0)),0)</f>
        <v>0</v>
      </c>
      <c r="O43" s="33">
        <f t="array" ref="O43">IFERROR(INDEX(Signal_Engine!$Z:$Z,MATCH($B43,Signal_Engine!$A:$A,0)),0)</f>
        <v>0</v>
      </c>
      <c r="P43" s="33">
        <f t="array" ref="P43">IFERROR(INDEX(Signal_Engine!$AA:$AA,MATCH($B43,Signal_Engine!$A:$A,0)),0)</f>
        <v>0</v>
      </c>
      <c r="Q43" s="32" t="str">
        <f t="array" ref="Q43">IFERROR(INDEX(Signal_Engine!$AB:$AB,MATCH($B43,Signal_Engine!$A:$A,0)),"Neutral / Mixed")</f>
        <v>Neutral / Mixed</v>
      </c>
      <c r="R43" s="32" t="str">
        <f t="array" ref="R43">IFERROR(INDEX(Signal_Engine!$AC:$AC,MATCH($B43,Signal_Engine!$A:$A,0)),"0/4 Bullish | 0/4 Bearish | 0/4 Neutral")</f>
        <v>0/4 Bullish | 0/4 Bearish | 0/4 Neutral</v>
      </c>
      <c r="S43" s="32" t="str">
        <f t="array" ref="S43">IFERROR(INDEX(Signal_Engine!$AD:$AD,MATCH($B43,Signal_Engine!$A:$A,0)),"Mixed machine; wait for cleaner alignment.")</f>
        <v>Mixed machine; wait for cleaner alignment.</v>
      </c>
      <c r="Z43" s="32"/>
    </row>
    <row r="44" ht="15.7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>
        <f t="array" ref="K44">IFERROR(INDEX(Signal_Engine!$V:$V,MATCH($B44,Signal_Engine!$A:$A,0)),0)</f>
        <v>0</v>
      </c>
      <c r="L44" s="32">
        <f t="array" ref="L44">IFERROR(INDEX(Signal_Engine!$W:$W,MATCH($B44,Signal_Engine!$A:$A,0)),0)</f>
        <v>0</v>
      </c>
      <c r="M44" s="32">
        <f t="array" ref="M44">IFERROR(INDEX(Signal_Engine!$X:$X,MATCH($B44,Signal_Engine!$A:$A,0)),0)</f>
        <v>0</v>
      </c>
      <c r="N44" s="33">
        <f t="array" ref="N44">IFERROR(INDEX(Signal_Engine!$Y:$Y,MATCH($B44,Signal_Engine!$A:$A,0)),0)</f>
        <v>0</v>
      </c>
      <c r="O44" s="33">
        <f t="array" ref="O44">IFERROR(INDEX(Signal_Engine!$Z:$Z,MATCH($B44,Signal_Engine!$A:$A,0)),0)</f>
        <v>0</v>
      </c>
      <c r="P44" s="33">
        <f t="array" ref="P44">IFERROR(INDEX(Signal_Engine!$AA:$AA,MATCH($B44,Signal_Engine!$A:$A,0)),0)</f>
        <v>0</v>
      </c>
      <c r="Q44" s="32" t="str">
        <f t="array" ref="Q44">IFERROR(INDEX(Signal_Engine!$AB:$AB,MATCH($B44,Signal_Engine!$A:$A,0)),"Neutral / Mixed")</f>
        <v>Neutral / Mixed</v>
      </c>
      <c r="R44" s="32" t="str">
        <f t="array" ref="R44">IFERROR(INDEX(Signal_Engine!$AC:$AC,MATCH($B44,Signal_Engine!$A:$A,0)),"0/4 Bullish | 0/4 Bearish | 0/4 Neutral")</f>
        <v>0/4 Bullish | 0/4 Bearish | 0/4 Neutral</v>
      </c>
      <c r="S44" s="32" t="str">
        <f t="array" ref="S44">IFERROR(INDEX(Signal_Engine!$AD:$AD,MATCH($B44,Signal_Engine!$A:$A,0)),"Mixed machine; wait for cleaner alignment.")</f>
        <v>Mixed machine; wait for cleaner alignment.</v>
      </c>
      <c r="Z44" s="32"/>
    </row>
    <row r="45" ht="15.7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>
        <f t="array" ref="K45">IFERROR(INDEX(Signal_Engine!$V:$V,MATCH($B45,Signal_Engine!$A:$A,0)),0)</f>
        <v>0</v>
      </c>
      <c r="L45" s="32">
        <f t="array" ref="L45">IFERROR(INDEX(Signal_Engine!$W:$W,MATCH($B45,Signal_Engine!$A:$A,0)),0)</f>
        <v>0</v>
      </c>
      <c r="M45" s="32">
        <f t="array" ref="M45">IFERROR(INDEX(Signal_Engine!$X:$X,MATCH($B45,Signal_Engine!$A:$A,0)),0)</f>
        <v>0</v>
      </c>
      <c r="N45" s="33">
        <f t="array" ref="N45">IFERROR(INDEX(Signal_Engine!$Y:$Y,MATCH($B45,Signal_Engine!$A:$A,0)),0)</f>
        <v>0</v>
      </c>
      <c r="O45" s="33">
        <f t="array" ref="O45">IFERROR(INDEX(Signal_Engine!$Z:$Z,MATCH($B45,Signal_Engine!$A:$A,0)),0)</f>
        <v>0</v>
      </c>
      <c r="P45" s="33">
        <f t="array" ref="P45">IFERROR(INDEX(Signal_Engine!$AA:$AA,MATCH($B45,Signal_Engine!$A:$A,0)),0)</f>
        <v>0</v>
      </c>
      <c r="Q45" s="32" t="str">
        <f t="array" ref="Q45">IFERROR(INDEX(Signal_Engine!$AB:$AB,MATCH($B45,Signal_Engine!$A:$A,0)),"Neutral / Mixed")</f>
        <v>Neutral / Mixed</v>
      </c>
      <c r="R45" s="32" t="str">
        <f t="array" ref="R45">IFERROR(INDEX(Signal_Engine!$AC:$AC,MATCH($B45,Signal_Engine!$A:$A,0)),"0/4 Bullish | 0/4 Bearish | 0/4 Neutral")</f>
        <v>0/4 Bullish | 0/4 Bearish | 0/4 Neutral</v>
      </c>
      <c r="S45" s="32" t="str">
        <f t="array" ref="S45">IFERROR(INDEX(Signal_Engine!$AD:$AD,MATCH($B45,Signal_Engine!$A:$A,0)),"Mixed machine; wait for cleaner alignment.")</f>
        <v>Mixed machine; wait for cleaner alignment.</v>
      </c>
      <c r="Z45" s="32"/>
    </row>
    <row r="46" ht="15.7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>
        <f t="array" ref="K46">IFERROR(INDEX(Signal_Engine!$V:$V,MATCH($B46,Signal_Engine!$A:$A,0)),0)</f>
        <v>0</v>
      </c>
      <c r="L46" s="32">
        <f t="array" ref="L46">IFERROR(INDEX(Signal_Engine!$W:$W,MATCH($B46,Signal_Engine!$A:$A,0)),0)</f>
        <v>0</v>
      </c>
      <c r="M46" s="32">
        <f t="array" ref="M46">IFERROR(INDEX(Signal_Engine!$X:$X,MATCH($B46,Signal_Engine!$A:$A,0)),0)</f>
        <v>0</v>
      </c>
      <c r="N46" s="33">
        <f t="array" ref="N46">IFERROR(INDEX(Signal_Engine!$Y:$Y,MATCH($B46,Signal_Engine!$A:$A,0)),0)</f>
        <v>0</v>
      </c>
      <c r="O46" s="33">
        <f t="array" ref="O46">IFERROR(INDEX(Signal_Engine!$Z:$Z,MATCH($B46,Signal_Engine!$A:$A,0)),0)</f>
        <v>0</v>
      </c>
      <c r="P46" s="33">
        <f t="array" ref="P46">IFERROR(INDEX(Signal_Engine!$AA:$AA,MATCH($B46,Signal_Engine!$A:$A,0)),0)</f>
        <v>0</v>
      </c>
      <c r="Q46" s="32" t="str">
        <f t="array" ref="Q46">IFERROR(INDEX(Signal_Engine!$AB:$AB,MATCH($B46,Signal_Engine!$A:$A,0)),"Neutral / Mixed")</f>
        <v>Neutral / Mixed</v>
      </c>
      <c r="R46" s="32" t="str">
        <f t="array" ref="R46">IFERROR(INDEX(Signal_Engine!$AC:$AC,MATCH($B46,Signal_Engine!$A:$A,0)),"0/4 Bullish | 0/4 Bearish | 0/4 Neutral")</f>
        <v>0/4 Bullish | 0/4 Bearish | 0/4 Neutral</v>
      </c>
      <c r="S46" s="32" t="str">
        <f t="array" ref="S46">IFERROR(INDEX(Signal_Engine!$AD:$AD,MATCH($B46,Signal_Engine!$A:$A,0)),"Mixed machine; wait for cleaner alignment.")</f>
        <v>Mixed machine; wait for cleaner alignment.</v>
      </c>
      <c r="Z46" s="32"/>
    </row>
    <row r="47" ht="15.7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>
        <f t="array" ref="K47">IFERROR(INDEX(Signal_Engine!$V:$V,MATCH($B47,Signal_Engine!$A:$A,0)),0)</f>
        <v>0</v>
      </c>
      <c r="L47" s="32">
        <f t="array" ref="L47">IFERROR(INDEX(Signal_Engine!$W:$W,MATCH($B47,Signal_Engine!$A:$A,0)),0)</f>
        <v>0</v>
      </c>
      <c r="M47" s="32">
        <f t="array" ref="M47">IFERROR(INDEX(Signal_Engine!$X:$X,MATCH($B47,Signal_Engine!$A:$A,0)),0)</f>
        <v>0</v>
      </c>
      <c r="N47" s="33">
        <f t="array" ref="N47">IFERROR(INDEX(Signal_Engine!$Y:$Y,MATCH($B47,Signal_Engine!$A:$A,0)),0)</f>
        <v>0</v>
      </c>
      <c r="O47" s="33">
        <f t="array" ref="O47">IFERROR(INDEX(Signal_Engine!$Z:$Z,MATCH($B47,Signal_Engine!$A:$A,0)),0)</f>
        <v>0</v>
      </c>
      <c r="P47" s="33">
        <f t="array" ref="P47">IFERROR(INDEX(Signal_Engine!$AA:$AA,MATCH($B47,Signal_Engine!$A:$A,0)),0)</f>
        <v>0</v>
      </c>
      <c r="Q47" s="32" t="str">
        <f t="array" ref="Q47">IFERROR(INDEX(Signal_Engine!$AB:$AB,MATCH($B47,Signal_Engine!$A:$A,0)),"Neutral / Mixed")</f>
        <v>Neutral / Mixed</v>
      </c>
      <c r="R47" s="32" t="str">
        <f t="array" ref="R47">IFERROR(INDEX(Signal_Engine!$AC:$AC,MATCH($B47,Signal_Engine!$A:$A,0)),"0/4 Bullish | 0/4 Bearish | 0/4 Neutral")</f>
        <v>0/4 Bullish | 0/4 Bearish | 0/4 Neutral</v>
      </c>
      <c r="S47" s="32" t="str">
        <f t="array" ref="S47">IFERROR(INDEX(Signal_Engine!$AD:$AD,MATCH($B47,Signal_Engine!$A:$A,0)),"Mixed machine; wait for cleaner alignment.")</f>
        <v>Mixed machine; wait for cleaner alignment.</v>
      </c>
      <c r="Z47" s="32"/>
    </row>
    <row r="48" ht="15.7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>
        <f t="array" ref="K48">IFERROR(INDEX(Signal_Engine!$V:$V,MATCH($B48,Signal_Engine!$A:$A,0)),0)</f>
        <v>0</v>
      </c>
      <c r="L48" s="32">
        <f t="array" ref="L48">IFERROR(INDEX(Signal_Engine!$W:$W,MATCH($B48,Signal_Engine!$A:$A,0)),0)</f>
        <v>0</v>
      </c>
      <c r="M48" s="32">
        <f t="array" ref="M48">IFERROR(INDEX(Signal_Engine!$X:$X,MATCH($B48,Signal_Engine!$A:$A,0)),0)</f>
        <v>0</v>
      </c>
      <c r="N48" s="33">
        <f t="array" ref="N48">IFERROR(INDEX(Signal_Engine!$Y:$Y,MATCH($B48,Signal_Engine!$A:$A,0)),0)</f>
        <v>0</v>
      </c>
      <c r="O48" s="33">
        <f t="array" ref="O48">IFERROR(INDEX(Signal_Engine!$Z:$Z,MATCH($B48,Signal_Engine!$A:$A,0)),0)</f>
        <v>0</v>
      </c>
      <c r="P48" s="33">
        <f t="array" ref="P48">IFERROR(INDEX(Signal_Engine!$AA:$AA,MATCH($B48,Signal_Engine!$A:$A,0)),0)</f>
        <v>0</v>
      </c>
      <c r="Q48" s="32" t="str">
        <f t="array" ref="Q48">IFERROR(INDEX(Signal_Engine!$AB:$AB,MATCH($B48,Signal_Engine!$A:$A,0)),"Neutral / Mixed")</f>
        <v>Neutral / Mixed</v>
      </c>
      <c r="R48" s="32" t="str">
        <f t="array" ref="R48">IFERROR(INDEX(Signal_Engine!$AC:$AC,MATCH($B48,Signal_Engine!$A:$A,0)),"0/4 Bullish | 0/4 Bearish | 0/4 Neutral")</f>
        <v>0/4 Bullish | 0/4 Bearish | 0/4 Neutral</v>
      </c>
      <c r="S48" s="32" t="str">
        <f t="array" ref="S48">IFERROR(INDEX(Signal_Engine!$AD:$AD,MATCH($B48,Signal_Engine!$A:$A,0)),"Mixed machine; wait for cleaner alignment.")</f>
        <v>Mixed machine; wait for cleaner alignment.</v>
      </c>
      <c r="Z48" s="32"/>
    </row>
    <row r="49" ht="15.7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>
        <f t="array" ref="K49">IFERROR(INDEX(Signal_Engine!$V:$V,MATCH($B49,Signal_Engine!$A:$A,0)),0)</f>
        <v>0</v>
      </c>
      <c r="L49" s="32">
        <f t="array" ref="L49">IFERROR(INDEX(Signal_Engine!$W:$W,MATCH($B49,Signal_Engine!$A:$A,0)),0)</f>
        <v>0</v>
      </c>
      <c r="M49" s="32">
        <f t="array" ref="M49">IFERROR(INDEX(Signal_Engine!$X:$X,MATCH($B49,Signal_Engine!$A:$A,0)),0)</f>
        <v>0</v>
      </c>
      <c r="N49" s="33">
        <f t="array" ref="N49">IFERROR(INDEX(Signal_Engine!$Y:$Y,MATCH($B49,Signal_Engine!$A:$A,0)),0)</f>
        <v>0</v>
      </c>
      <c r="O49" s="33">
        <f t="array" ref="O49">IFERROR(INDEX(Signal_Engine!$Z:$Z,MATCH($B49,Signal_Engine!$A:$A,0)),0)</f>
        <v>0</v>
      </c>
      <c r="P49" s="33">
        <f t="array" ref="P49">IFERROR(INDEX(Signal_Engine!$AA:$AA,MATCH($B49,Signal_Engine!$A:$A,0)),0)</f>
        <v>0</v>
      </c>
      <c r="Q49" s="32" t="str">
        <f t="array" ref="Q49">IFERROR(INDEX(Signal_Engine!$AB:$AB,MATCH($B49,Signal_Engine!$A:$A,0)),"Neutral / Mixed")</f>
        <v>Neutral / Mixed</v>
      </c>
      <c r="R49" s="32" t="str">
        <f t="array" ref="R49">IFERROR(INDEX(Signal_Engine!$AC:$AC,MATCH($B49,Signal_Engine!$A:$A,0)),"0/4 Bullish | 0/4 Bearish | 0/4 Neutral")</f>
        <v>0/4 Bullish | 0/4 Bearish | 0/4 Neutral</v>
      </c>
      <c r="S49" s="32" t="str">
        <f t="array" ref="S49">IFERROR(INDEX(Signal_Engine!$AD:$AD,MATCH($B49,Signal_Engine!$A:$A,0)),"Mixed machine; wait for cleaner alignment.")</f>
        <v>Mixed machine; wait for cleaner alignment.</v>
      </c>
      <c r="Z49" s="32"/>
    </row>
    <row r="50" ht="15.75" customHeight="1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>
        <f t="array" ref="K50">IFERROR(INDEX(Signal_Engine!$V:$V,MATCH($B50,Signal_Engine!$A:$A,0)),0)</f>
        <v>0</v>
      </c>
      <c r="L50" s="32">
        <f t="array" ref="L50">IFERROR(INDEX(Signal_Engine!$W:$W,MATCH($B50,Signal_Engine!$A:$A,0)),0)</f>
        <v>0</v>
      </c>
      <c r="M50" s="32">
        <f t="array" ref="M50">IFERROR(INDEX(Signal_Engine!$X:$X,MATCH($B50,Signal_Engine!$A:$A,0)),0)</f>
        <v>0</v>
      </c>
      <c r="N50" s="33">
        <f t="array" ref="N50">IFERROR(INDEX(Signal_Engine!$Y:$Y,MATCH($B50,Signal_Engine!$A:$A,0)),0)</f>
        <v>0</v>
      </c>
      <c r="O50" s="33">
        <f t="array" ref="O50">IFERROR(INDEX(Signal_Engine!$Z:$Z,MATCH($B50,Signal_Engine!$A:$A,0)),0)</f>
        <v>0</v>
      </c>
      <c r="P50" s="33">
        <f t="array" ref="P50">IFERROR(INDEX(Signal_Engine!$AA:$AA,MATCH($B50,Signal_Engine!$A:$A,0)),0)</f>
        <v>0</v>
      </c>
      <c r="Q50" s="32" t="str">
        <f t="array" ref="Q50">IFERROR(INDEX(Signal_Engine!$AB:$AB,MATCH($B50,Signal_Engine!$A:$A,0)),"Neutral / Mixed")</f>
        <v>Neutral / Mixed</v>
      </c>
      <c r="R50" s="32" t="str">
        <f t="array" ref="R50">IFERROR(INDEX(Signal_Engine!$AC:$AC,MATCH($B50,Signal_Engine!$A:$A,0)),"0/4 Bullish | 0/4 Bearish | 0/4 Neutral")</f>
        <v>0/4 Bullish | 0/4 Bearish | 0/4 Neutral</v>
      </c>
      <c r="S50" s="32" t="str">
        <f t="array" ref="S50">IFERROR(INDEX(Signal_Engine!$AD:$AD,MATCH($B50,Signal_Engine!$A:$A,0)),"Mixed machine; wait for cleaner alignment.")</f>
        <v>Mixed machine; wait for cleaner alignment.</v>
      </c>
      <c r="Z50" s="32"/>
    </row>
    <row r="51" ht="15.75" customHeight="1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>
        <f t="array" ref="K51">IFERROR(INDEX(Signal_Engine!$V:$V,MATCH($B51,Signal_Engine!$A:$A,0)),0)</f>
        <v>0</v>
      </c>
      <c r="L51" s="32">
        <f t="array" ref="L51">IFERROR(INDEX(Signal_Engine!$W:$W,MATCH($B51,Signal_Engine!$A:$A,0)),0)</f>
        <v>0</v>
      </c>
      <c r="M51" s="32">
        <f t="array" ref="M51">IFERROR(INDEX(Signal_Engine!$X:$X,MATCH($B51,Signal_Engine!$A:$A,0)),0)</f>
        <v>0</v>
      </c>
      <c r="N51" s="33">
        <f t="array" ref="N51">IFERROR(INDEX(Signal_Engine!$Y:$Y,MATCH($B51,Signal_Engine!$A:$A,0)),0)</f>
        <v>0</v>
      </c>
      <c r="O51" s="33">
        <f t="array" ref="O51">IFERROR(INDEX(Signal_Engine!$Z:$Z,MATCH($B51,Signal_Engine!$A:$A,0)),0)</f>
        <v>0</v>
      </c>
      <c r="P51" s="33">
        <f t="array" ref="P51">IFERROR(INDEX(Signal_Engine!$AA:$AA,MATCH($B51,Signal_Engine!$A:$A,0)),0)</f>
        <v>0</v>
      </c>
      <c r="Q51" s="32" t="str">
        <f t="array" ref="Q51">IFERROR(INDEX(Signal_Engine!$AB:$AB,MATCH($B51,Signal_Engine!$A:$A,0)),"Neutral / Mixed")</f>
        <v>Neutral / Mixed</v>
      </c>
      <c r="R51" s="32" t="str">
        <f t="array" ref="R51">IFERROR(INDEX(Signal_Engine!$AC:$AC,MATCH($B51,Signal_Engine!$A:$A,0)),"0/4 Bullish | 0/4 Bearish | 0/4 Neutral")</f>
        <v>0/4 Bullish | 0/4 Bearish | 0/4 Neutral</v>
      </c>
      <c r="S51" s="32" t="str">
        <f t="array" ref="S51">IFERROR(INDEX(Signal_Engine!$AD:$AD,MATCH($B51,Signal_Engine!$A:$A,0)),"Mixed machine; wait for cleaner alignment.")</f>
        <v>Mixed machine; wait for cleaner alignment.</v>
      </c>
      <c r="Z51" s="32"/>
    </row>
    <row r="52" ht="15.75" customHeight="1">
      <c r="Z52" s="32"/>
    </row>
    <row r="53" ht="15.75" customHeight="1">
      <c r="Z53" s="32"/>
    </row>
    <row r="54" ht="15.75" customHeight="1">
      <c r="Z54" s="32"/>
    </row>
    <row r="55" ht="15.75" customHeight="1">
      <c r="Z55" s="32"/>
    </row>
    <row r="56" ht="15.75" customHeight="1">
      <c r="Z56" s="32"/>
    </row>
    <row r="57" ht="15.75" customHeight="1">
      <c r="Z57" s="32"/>
    </row>
    <row r="58" ht="15.75" customHeight="1">
      <c r="Z58" s="32"/>
    </row>
    <row r="59" ht="15.75" customHeight="1">
      <c r="Z59" s="32"/>
    </row>
    <row r="60" ht="15.75" customHeight="1">
      <c r="Z60" s="32"/>
    </row>
    <row r="61" ht="15.75" customHeight="1">
      <c r="Z61" s="32"/>
    </row>
    <row r="62" ht="15.75" customHeight="1">
      <c r="Z62" s="32"/>
    </row>
    <row r="63" ht="15.75" customHeight="1">
      <c r="Z63" s="32"/>
    </row>
    <row r="64" ht="15.75" customHeight="1">
      <c r="Z64" s="32"/>
    </row>
    <row r="65" ht="15.75" customHeight="1">
      <c r="Z65" s="32"/>
    </row>
    <row r="66" ht="15.75" customHeight="1">
      <c r="Z66" s="32"/>
    </row>
    <row r="67" ht="15.75" customHeight="1">
      <c r="Z67" s="32"/>
    </row>
    <row r="68" ht="15.75" customHeight="1">
      <c r="Z68" s="32"/>
    </row>
    <row r="69" ht="15.75" customHeight="1">
      <c r="Z69" s="32"/>
    </row>
    <row r="70" ht="15.75" customHeight="1">
      <c r="Z70" s="32"/>
    </row>
    <row r="71" ht="15.75" customHeight="1">
      <c r="Z71" s="32"/>
    </row>
    <row r="72" ht="15.75" customHeight="1">
      <c r="Z72" s="32"/>
    </row>
    <row r="73" ht="15.75" customHeight="1">
      <c r="Z73" s="32"/>
    </row>
    <row r="74" ht="15.75" customHeight="1">
      <c r="Z74" s="32"/>
    </row>
    <row r="75" ht="15.75" customHeight="1">
      <c r="Z75" s="32"/>
    </row>
    <row r="76" ht="15.75" customHeight="1">
      <c r="Z76" s="32"/>
    </row>
    <row r="77" ht="15.75" customHeight="1">
      <c r="Z77" s="32"/>
    </row>
    <row r="78" ht="15.75" customHeight="1">
      <c r="Z78" s="32"/>
    </row>
    <row r="79" ht="15.75" customHeight="1">
      <c r="Z79" s="32"/>
    </row>
    <row r="80" ht="15.75" customHeight="1">
      <c r="Z80" s="32"/>
    </row>
    <row r="81" ht="15.75" customHeight="1">
      <c r="Z81" s="32"/>
    </row>
    <row r="82" ht="15.75" customHeight="1">
      <c r="Z82" s="32"/>
    </row>
    <row r="83" ht="15.75" customHeight="1">
      <c r="Z83" s="32"/>
    </row>
    <row r="84" ht="15.75" customHeight="1">
      <c r="Z84" s="32"/>
    </row>
    <row r="85" ht="15.75" customHeight="1">
      <c r="Z85" s="32"/>
    </row>
    <row r="86" ht="15.75" customHeight="1">
      <c r="Z86" s="32"/>
    </row>
    <row r="87" ht="15.75" customHeight="1">
      <c r="Z87" s="32"/>
    </row>
    <row r="88" ht="15.75" customHeight="1">
      <c r="Z88" s="32"/>
    </row>
    <row r="89" ht="15.75" customHeight="1">
      <c r="Z89" s="32"/>
    </row>
    <row r="90" ht="15.75" customHeight="1">
      <c r="Z90" s="32"/>
    </row>
    <row r="91" ht="15.75" customHeight="1">
      <c r="Z91" s="32"/>
    </row>
    <row r="92" ht="15.75" customHeight="1">
      <c r="Z92" s="32"/>
    </row>
    <row r="93" ht="15.75" customHeight="1">
      <c r="Z93" s="32"/>
    </row>
    <row r="94" ht="15.75" customHeight="1">
      <c r="Z94" s="32"/>
    </row>
    <row r="95" ht="15.75" customHeight="1">
      <c r="Z95" s="32"/>
    </row>
    <row r="96" ht="15.75" customHeight="1">
      <c r="Z96" s="32"/>
    </row>
    <row r="97" ht="15.75" customHeight="1">
      <c r="Z97" s="32"/>
    </row>
    <row r="98" ht="15.75" customHeight="1">
      <c r="Z98" s="32"/>
    </row>
    <row r="99" ht="15.75" customHeight="1">
      <c r="Z99" s="32"/>
    </row>
    <row r="100" ht="15.75" customHeight="1">
      <c r="Z100" s="3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F51">
    <cfRule type="expression" dxfId="0" priority="1">
      <formula>OR(C2="Bearish",C2="Bearish Bias",C2="Strong Bearish")</formula>
    </cfRule>
  </conditionalFormatting>
  <conditionalFormatting sqref="C2:F51">
    <cfRule type="expression" dxfId="1" priority="2">
      <formula>OR(C2="Bullish",C2="Bullish Bias",C2="Strong Bullish")</formula>
    </cfRule>
  </conditionalFormatting>
  <conditionalFormatting sqref="C2:F51">
    <cfRule type="expression" dxfId="2" priority="3">
      <formula>OR(C2="Neutral",C2="Neutral / Mixed")</formula>
    </cfRule>
  </conditionalFormatting>
  <conditionalFormatting sqref="Q2:Q51">
    <cfRule type="expression" dxfId="0" priority="4">
      <formula>OR(Q2="Bearish",Q2="Bearish Bias",Q2="Strong Bearish")</formula>
    </cfRule>
  </conditionalFormatting>
  <conditionalFormatting sqref="Q2:Q51">
    <cfRule type="expression" dxfId="1" priority="5">
      <formula>OR(Q2="Bullish",Q2="Bullish Bias",Q2="Strong Bullish")</formula>
    </cfRule>
  </conditionalFormatting>
  <conditionalFormatting sqref="Q2:Q51">
    <cfRule type="expression" dxfId="2" priority="6">
      <formula>OR(Q2="Neutral",Q2="Neutral / Mixed")</formula>
    </cfRule>
  </conditionalFormatting>
  <conditionalFormatting sqref="C2:F100">
    <cfRule type="expression" dxfId="3" priority="7">
      <formula>LOWER(C2)="bearish"</formula>
    </cfRule>
  </conditionalFormatting>
  <conditionalFormatting sqref="C2:F100">
    <cfRule type="expression" dxfId="4" priority="8">
      <formula>LOWER(C2)="bullish"</formula>
    </cfRule>
  </conditionalFormatting>
  <conditionalFormatting sqref="C2:F100">
    <cfRule type="expression" dxfId="5" priority="9">
      <formula>LOWER(C2)="neutral"</formula>
    </cfRule>
  </conditionalFormatting>
  <dataValidations>
    <dataValidation type="list" allowBlank="1" sqref="B2:B51">
      <formula1>Lists!$E$2:$E$6</formula1>
    </dataValidation>
    <dataValidation type="list" allowBlank="1" sqref="C2:F51">
      <formula1>Lists!$A$2:$A$4</formula1>
    </dataValidation>
    <dataValidation type="list" allowBlank="1" sqref="Z2:Z10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9" width="18.0"/>
  </cols>
  <sheetData>
    <row r="1">
      <c r="A1" s="23" t="s">
        <v>91</v>
      </c>
      <c r="B1" s="23" t="s">
        <v>121</v>
      </c>
      <c r="C1" s="23" t="s">
        <v>122</v>
      </c>
      <c r="D1" s="23" t="s">
        <v>123</v>
      </c>
      <c r="E1" s="23" t="s">
        <v>124</v>
      </c>
      <c r="F1" s="23" t="s">
        <v>125</v>
      </c>
      <c r="G1" s="23" t="s">
        <v>126</v>
      </c>
      <c r="H1" s="23" t="s">
        <v>9</v>
      </c>
      <c r="I1" s="23" t="s">
        <v>127</v>
      </c>
    </row>
    <row r="2">
      <c r="A2" s="35" t="s">
        <v>17</v>
      </c>
      <c r="B2" s="35" t="s">
        <v>128</v>
      </c>
      <c r="C2" s="35" t="s">
        <v>129</v>
      </c>
      <c r="D2" s="35" t="s">
        <v>130</v>
      </c>
      <c r="E2" s="35" t="s">
        <v>131</v>
      </c>
      <c r="F2" s="35" t="s">
        <v>132</v>
      </c>
      <c r="G2" s="35" t="s">
        <v>133</v>
      </c>
      <c r="H2" s="35" t="s">
        <v>134</v>
      </c>
      <c r="I2" s="35" t="s">
        <v>135</v>
      </c>
    </row>
    <row r="3">
      <c r="A3" s="35" t="s">
        <v>117</v>
      </c>
      <c r="B3" s="35" t="s">
        <v>136</v>
      </c>
      <c r="C3" s="35" t="s">
        <v>137</v>
      </c>
      <c r="D3" s="35" t="s">
        <v>138</v>
      </c>
      <c r="E3" s="35" t="s">
        <v>139</v>
      </c>
      <c r="F3" s="35" t="s">
        <v>140</v>
      </c>
      <c r="G3" s="35" t="s">
        <v>133</v>
      </c>
      <c r="H3" s="35" t="s">
        <v>141</v>
      </c>
      <c r="I3" s="35" t="s">
        <v>135</v>
      </c>
    </row>
    <row r="4">
      <c r="A4" s="35" t="s">
        <v>118</v>
      </c>
      <c r="B4" s="35" t="s">
        <v>142</v>
      </c>
      <c r="C4" s="35" t="s">
        <v>137</v>
      </c>
      <c r="D4" s="35" t="s">
        <v>143</v>
      </c>
      <c r="E4" s="35" t="s">
        <v>144</v>
      </c>
      <c r="F4" s="35" t="s">
        <v>145</v>
      </c>
      <c r="G4" s="35" t="s">
        <v>133</v>
      </c>
      <c r="H4" s="35" t="s">
        <v>146</v>
      </c>
      <c r="I4" s="35" t="s">
        <v>147</v>
      </c>
    </row>
    <row r="5">
      <c r="A5" s="35" t="s">
        <v>119</v>
      </c>
      <c r="B5" s="35" t="s">
        <v>148</v>
      </c>
      <c r="C5" s="35" t="s">
        <v>149</v>
      </c>
      <c r="D5" s="35" t="s">
        <v>150</v>
      </c>
      <c r="E5" s="35" t="s">
        <v>151</v>
      </c>
      <c r="F5" s="35" t="s">
        <v>145</v>
      </c>
      <c r="G5" s="35" t="s">
        <v>133</v>
      </c>
      <c r="H5" s="35" t="s">
        <v>152</v>
      </c>
      <c r="I5" s="35" t="s">
        <v>147</v>
      </c>
    </row>
    <row r="6">
      <c r="A6" s="35" t="s">
        <v>120</v>
      </c>
      <c r="B6" s="35" t="s">
        <v>153</v>
      </c>
      <c r="C6" s="35" t="s">
        <v>154</v>
      </c>
      <c r="D6" s="35" t="s">
        <v>155</v>
      </c>
      <c r="E6" s="35" t="s">
        <v>156</v>
      </c>
      <c r="F6" s="35" t="s">
        <v>156</v>
      </c>
      <c r="G6" s="35" t="s">
        <v>133</v>
      </c>
      <c r="H6" s="35" t="s">
        <v>157</v>
      </c>
      <c r="I6" s="35" t="s">
        <v>120</v>
      </c>
    </row>
    <row r="7">
      <c r="A7" s="36"/>
      <c r="B7" s="36"/>
      <c r="C7" s="36"/>
      <c r="D7" s="36"/>
      <c r="E7" s="36"/>
      <c r="F7" s="36"/>
      <c r="G7" s="36"/>
      <c r="H7" s="36"/>
      <c r="I7" s="36"/>
    </row>
    <row r="8">
      <c r="A8" s="36"/>
      <c r="B8" s="36"/>
      <c r="C8" s="36"/>
      <c r="D8" s="36"/>
      <c r="E8" s="36"/>
      <c r="F8" s="36"/>
      <c r="G8" s="36"/>
      <c r="H8" s="36"/>
      <c r="I8" s="36"/>
    </row>
    <row r="9">
      <c r="A9" s="36"/>
      <c r="B9" s="36"/>
      <c r="C9" s="36"/>
      <c r="D9" s="36"/>
      <c r="E9" s="36"/>
      <c r="F9" s="36"/>
      <c r="G9" s="36"/>
      <c r="H9" s="36"/>
      <c r="I9" s="36"/>
    </row>
    <row r="10">
      <c r="A10" s="36"/>
      <c r="B10" s="36"/>
      <c r="C10" s="36"/>
      <c r="D10" s="36"/>
      <c r="E10" s="36"/>
      <c r="F10" s="36"/>
      <c r="G10" s="36"/>
      <c r="H10" s="36"/>
      <c r="I10" s="36"/>
    </row>
    <row r="11">
      <c r="A11" s="36"/>
      <c r="B11" s="36"/>
      <c r="C11" s="36"/>
      <c r="D11" s="36"/>
      <c r="E11" s="36"/>
      <c r="F11" s="36"/>
      <c r="G11" s="36"/>
      <c r="H11" s="36"/>
      <c r="I11" s="36"/>
    </row>
    <row r="12">
      <c r="A12" s="36"/>
      <c r="B12" s="36"/>
      <c r="C12" s="36"/>
      <c r="D12" s="36"/>
      <c r="E12" s="36"/>
      <c r="F12" s="36"/>
      <c r="G12" s="36"/>
      <c r="H12" s="36"/>
      <c r="I12" s="36"/>
    </row>
    <row r="13">
      <c r="A13" s="36"/>
      <c r="B13" s="36"/>
      <c r="C13" s="36"/>
      <c r="D13" s="36"/>
      <c r="E13" s="36"/>
      <c r="F13" s="36"/>
      <c r="G13" s="36"/>
      <c r="H13" s="36"/>
      <c r="I13" s="36"/>
    </row>
    <row r="14">
      <c r="A14" s="36"/>
      <c r="B14" s="36"/>
      <c r="C14" s="36"/>
      <c r="D14" s="36"/>
      <c r="E14" s="36"/>
      <c r="F14" s="36"/>
      <c r="G14" s="36"/>
      <c r="H14" s="36"/>
      <c r="I14" s="36"/>
    </row>
    <row r="15">
      <c r="A15" s="36"/>
      <c r="B15" s="36"/>
      <c r="C15" s="36"/>
      <c r="D15" s="36"/>
      <c r="E15" s="36"/>
      <c r="F15" s="36"/>
      <c r="G15" s="36"/>
      <c r="H15" s="36"/>
      <c r="I15" s="36"/>
    </row>
    <row r="16">
      <c r="A16" s="36"/>
      <c r="B16" s="36"/>
      <c r="C16" s="36"/>
      <c r="D16" s="36"/>
      <c r="E16" s="36"/>
      <c r="F16" s="36"/>
      <c r="G16" s="36"/>
      <c r="H16" s="36"/>
      <c r="I16" s="36"/>
    </row>
    <row r="17">
      <c r="A17" s="36"/>
      <c r="B17" s="36"/>
      <c r="C17" s="36"/>
      <c r="D17" s="36"/>
      <c r="E17" s="36"/>
      <c r="F17" s="36"/>
      <c r="G17" s="36"/>
      <c r="H17" s="36"/>
      <c r="I17" s="36"/>
    </row>
    <row r="18">
      <c r="A18" s="36"/>
      <c r="B18" s="36"/>
      <c r="C18" s="36"/>
      <c r="D18" s="36"/>
      <c r="E18" s="36"/>
      <c r="F18" s="36"/>
      <c r="G18" s="36"/>
      <c r="H18" s="36"/>
      <c r="I18" s="36"/>
    </row>
    <row r="19">
      <c r="A19" s="36"/>
      <c r="B19" s="36"/>
      <c r="C19" s="36"/>
      <c r="D19" s="36"/>
      <c r="E19" s="36"/>
      <c r="F19" s="36"/>
      <c r="G19" s="36"/>
      <c r="H19" s="36"/>
      <c r="I19" s="36"/>
    </row>
    <row r="20">
      <c r="A20" s="36"/>
      <c r="B20" s="36"/>
      <c r="C20" s="36"/>
      <c r="D20" s="36"/>
      <c r="E20" s="36"/>
      <c r="F20" s="36"/>
      <c r="G20" s="36"/>
      <c r="H20" s="36"/>
      <c r="I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9" width="18.0"/>
    <col customWidth="1" min="10" max="10" width="24.0"/>
  </cols>
  <sheetData>
    <row r="1">
      <c r="A1" s="23" t="s">
        <v>91</v>
      </c>
      <c r="B1" s="23" t="s">
        <v>158</v>
      </c>
      <c r="C1" s="37" t="s">
        <v>159</v>
      </c>
      <c r="D1" s="23" t="s">
        <v>67</v>
      </c>
      <c r="E1" s="23" t="s">
        <v>68</v>
      </c>
      <c r="F1" s="23" t="s">
        <v>9</v>
      </c>
      <c r="G1" s="23" t="s">
        <v>160</v>
      </c>
      <c r="H1" s="23" t="s">
        <v>161</v>
      </c>
      <c r="I1" s="23" t="s">
        <v>4</v>
      </c>
      <c r="J1" s="23" t="s">
        <v>88</v>
      </c>
    </row>
    <row r="2">
      <c r="A2" s="35" t="s">
        <v>17</v>
      </c>
      <c r="B2" s="35" t="s">
        <v>162</v>
      </c>
      <c r="C2" s="38">
        <v>0.0548</v>
      </c>
      <c r="D2" s="35" t="s">
        <v>34</v>
      </c>
      <c r="E2" s="35" t="s">
        <v>163</v>
      </c>
      <c r="F2" s="35" t="s">
        <v>164</v>
      </c>
      <c r="G2" s="35">
        <v>2.0</v>
      </c>
      <c r="H2" s="35" t="s">
        <v>116</v>
      </c>
      <c r="I2" s="35" t="s">
        <v>165</v>
      </c>
      <c r="J2" s="35" t="s">
        <v>166</v>
      </c>
    </row>
    <row r="3">
      <c r="A3" s="35" t="s">
        <v>17</v>
      </c>
      <c r="B3" s="35" t="s">
        <v>167</v>
      </c>
      <c r="C3" s="38">
        <v>-0.0045000000000000005</v>
      </c>
      <c r="D3" s="35" t="s">
        <v>36</v>
      </c>
      <c r="E3" s="35" t="s">
        <v>168</v>
      </c>
      <c r="F3" s="35" t="s">
        <v>169</v>
      </c>
      <c r="G3" s="35">
        <v>11.0</v>
      </c>
      <c r="H3" s="35" t="s">
        <v>147</v>
      </c>
      <c r="I3" s="35" t="s">
        <v>165</v>
      </c>
      <c r="J3" s="35" t="s">
        <v>166</v>
      </c>
    </row>
    <row r="4">
      <c r="A4" s="35" t="s">
        <v>17</v>
      </c>
      <c r="B4" s="35" t="s">
        <v>170</v>
      </c>
      <c r="C4" s="38">
        <v>0.0352</v>
      </c>
      <c r="D4" s="35" t="s">
        <v>34</v>
      </c>
      <c r="E4" s="35" t="s">
        <v>163</v>
      </c>
      <c r="F4" s="35" t="s">
        <v>171</v>
      </c>
      <c r="G4" s="35">
        <v>5.0</v>
      </c>
      <c r="H4" s="35" t="s">
        <v>116</v>
      </c>
      <c r="I4" s="35" t="s">
        <v>165</v>
      </c>
      <c r="J4" s="35" t="s">
        <v>166</v>
      </c>
    </row>
    <row r="5">
      <c r="A5" s="35" t="s">
        <v>17</v>
      </c>
      <c r="B5" s="35" t="s">
        <v>172</v>
      </c>
      <c r="C5" s="38">
        <v>0.006500000000000001</v>
      </c>
      <c r="D5" s="35" t="s">
        <v>34</v>
      </c>
      <c r="E5" s="35" t="s">
        <v>173</v>
      </c>
      <c r="F5" s="35" t="s">
        <v>174</v>
      </c>
      <c r="G5" s="35">
        <v>10.0</v>
      </c>
      <c r="H5" s="35" t="s">
        <v>116</v>
      </c>
      <c r="I5" s="35" t="s">
        <v>165</v>
      </c>
      <c r="J5" s="35" t="s">
        <v>166</v>
      </c>
    </row>
    <row r="6">
      <c r="A6" s="35" t="s">
        <v>17</v>
      </c>
      <c r="B6" s="35" t="s">
        <v>175</v>
      </c>
      <c r="C6" s="38">
        <v>0.0339</v>
      </c>
      <c r="D6" s="35" t="s">
        <v>34</v>
      </c>
      <c r="E6" s="35" t="s">
        <v>163</v>
      </c>
      <c r="F6" s="35" t="s">
        <v>176</v>
      </c>
      <c r="G6" s="35">
        <v>6.0</v>
      </c>
      <c r="H6" s="35" t="s">
        <v>116</v>
      </c>
      <c r="I6" s="35" t="s">
        <v>165</v>
      </c>
      <c r="J6" s="35" t="s">
        <v>166</v>
      </c>
    </row>
    <row r="7">
      <c r="A7" s="35" t="s">
        <v>17</v>
      </c>
      <c r="B7" s="35" t="s">
        <v>177</v>
      </c>
      <c r="C7" s="38">
        <v>-0.0218</v>
      </c>
      <c r="D7" s="35" t="s">
        <v>35</v>
      </c>
      <c r="E7" s="35" t="s">
        <v>163</v>
      </c>
      <c r="F7" s="35" t="s">
        <v>178</v>
      </c>
      <c r="G7" s="35">
        <v>12.0</v>
      </c>
      <c r="H7" s="35" t="s">
        <v>116</v>
      </c>
      <c r="I7" s="35" t="s">
        <v>165</v>
      </c>
      <c r="J7" s="35" t="s">
        <v>166</v>
      </c>
    </row>
    <row r="8">
      <c r="A8" s="35" t="s">
        <v>17</v>
      </c>
      <c r="B8" s="35" t="s">
        <v>179</v>
      </c>
      <c r="C8" s="38">
        <v>0.0305</v>
      </c>
      <c r="D8" s="35" t="s">
        <v>34</v>
      </c>
      <c r="E8" s="35" t="s">
        <v>163</v>
      </c>
      <c r="F8" s="35" t="s">
        <v>180</v>
      </c>
      <c r="G8" s="35">
        <v>9.0</v>
      </c>
      <c r="H8" s="35" t="s">
        <v>116</v>
      </c>
      <c r="I8" s="35" t="s">
        <v>165</v>
      </c>
      <c r="J8" s="35" t="s">
        <v>166</v>
      </c>
    </row>
    <row r="9">
      <c r="A9" s="35" t="s">
        <v>17</v>
      </c>
      <c r="B9" s="35" t="s">
        <v>181</v>
      </c>
      <c r="C9" s="38">
        <v>0.0321</v>
      </c>
      <c r="D9" s="35" t="s">
        <v>34</v>
      </c>
      <c r="E9" s="35" t="s">
        <v>163</v>
      </c>
      <c r="F9" s="35" t="s">
        <v>182</v>
      </c>
      <c r="G9" s="35">
        <v>8.0</v>
      </c>
      <c r="H9" s="35" t="s">
        <v>116</v>
      </c>
      <c r="I9" s="35" t="s">
        <v>165</v>
      </c>
      <c r="J9" s="35" t="s">
        <v>166</v>
      </c>
    </row>
    <row r="10">
      <c r="A10" s="35" t="s">
        <v>17</v>
      </c>
      <c r="B10" s="35" t="s">
        <v>183</v>
      </c>
      <c r="C10" s="38">
        <v>0.052300000000000006</v>
      </c>
      <c r="D10" s="35" t="s">
        <v>34</v>
      </c>
      <c r="E10" s="35" t="s">
        <v>163</v>
      </c>
      <c r="F10" s="35" t="s">
        <v>184</v>
      </c>
      <c r="G10" s="35">
        <v>3.0</v>
      </c>
      <c r="H10" s="35" t="s">
        <v>116</v>
      </c>
      <c r="I10" s="35" t="s">
        <v>165</v>
      </c>
      <c r="J10" s="35" t="s">
        <v>166</v>
      </c>
    </row>
    <row r="11">
      <c r="A11" s="35" t="s">
        <v>17</v>
      </c>
      <c r="B11" s="35" t="s">
        <v>185</v>
      </c>
      <c r="C11" s="38">
        <v>0.0339</v>
      </c>
      <c r="D11" s="35" t="s">
        <v>34</v>
      </c>
      <c r="E11" s="35" t="s">
        <v>163</v>
      </c>
      <c r="F11" s="35" t="s">
        <v>186</v>
      </c>
      <c r="G11" s="35">
        <v>7.0</v>
      </c>
      <c r="H11" s="35" t="s">
        <v>116</v>
      </c>
      <c r="I11" s="35" t="s">
        <v>165</v>
      </c>
      <c r="J11" s="35" t="s">
        <v>166</v>
      </c>
    </row>
    <row r="12">
      <c r="A12" s="35" t="s">
        <v>17</v>
      </c>
      <c r="B12" s="35" t="s">
        <v>187</v>
      </c>
      <c r="C12" s="38">
        <v>0.075</v>
      </c>
      <c r="D12" s="35" t="s">
        <v>34</v>
      </c>
      <c r="E12" s="35" t="s">
        <v>163</v>
      </c>
      <c r="F12" s="35" t="s">
        <v>188</v>
      </c>
      <c r="G12" s="35">
        <v>1.0</v>
      </c>
      <c r="H12" s="35" t="s">
        <v>116</v>
      </c>
      <c r="I12" s="35" t="s">
        <v>165</v>
      </c>
      <c r="J12" s="35" t="s">
        <v>166</v>
      </c>
    </row>
    <row r="13">
      <c r="A13" s="35" t="s">
        <v>17</v>
      </c>
      <c r="B13" s="35" t="s">
        <v>189</v>
      </c>
      <c r="C13" s="38">
        <v>0.046799999999999994</v>
      </c>
      <c r="D13" s="35" t="s">
        <v>34</v>
      </c>
      <c r="E13" s="35" t="s">
        <v>163</v>
      </c>
      <c r="F13" s="35" t="s">
        <v>190</v>
      </c>
      <c r="G13" s="35">
        <v>4.0</v>
      </c>
      <c r="H13" s="35" t="s">
        <v>116</v>
      </c>
      <c r="I13" s="35" t="s">
        <v>165</v>
      </c>
      <c r="J13" s="35" t="s">
        <v>166</v>
      </c>
    </row>
    <row r="14">
      <c r="A14" s="35" t="s">
        <v>117</v>
      </c>
      <c r="B14" s="35" t="s">
        <v>162</v>
      </c>
      <c r="C14" s="38">
        <v>0.024300000000000002</v>
      </c>
      <c r="D14" s="35" t="s">
        <v>34</v>
      </c>
      <c r="E14" s="35" t="s">
        <v>163</v>
      </c>
      <c r="F14" s="35" t="s">
        <v>191</v>
      </c>
      <c r="G14" s="35">
        <v>3.0</v>
      </c>
      <c r="H14" s="35" t="s">
        <v>116</v>
      </c>
      <c r="I14" s="35" t="s">
        <v>165</v>
      </c>
      <c r="J14" s="35" t="s">
        <v>166</v>
      </c>
    </row>
    <row r="15">
      <c r="A15" s="35" t="s">
        <v>117</v>
      </c>
      <c r="B15" s="35" t="s">
        <v>167</v>
      </c>
      <c r="C15" s="38">
        <v>-0.006999999999999999</v>
      </c>
      <c r="D15" s="35" t="s">
        <v>35</v>
      </c>
      <c r="E15" s="35" t="s">
        <v>173</v>
      </c>
      <c r="F15" s="35" t="s">
        <v>192</v>
      </c>
      <c r="G15" s="35">
        <v>11.0</v>
      </c>
      <c r="H15" s="35" t="s">
        <v>116</v>
      </c>
      <c r="I15" s="35" t="s">
        <v>165</v>
      </c>
      <c r="J15" s="35" t="s">
        <v>166</v>
      </c>
    </row>
    <row r="16">
      <c r="A16" s="35" t="s">
        <v>117</v>
      </c>
      <c r="B16" s="35" t="s">
        <v>170</v>
      </c>
      <c r="C16" s="38">
        <v>-0.011000000000000001</v>
      </c>
      <c r="D16" s="35" t="s">
        <v>35</v>
      </c>
      <c r="E16" s="35" t="s">
        <v>173</v>
      </c>
      <c r="F16" s="35" t="s">
        <v>193</v>
      </c>
      <c r="G16" s="35">
        <v>12.0</v>
      </c>
      <c r="H16" s="35" t="s">
        <v>116</v>
      </c>
      <c r="I16" s="35" t="s">
        <v>165</v>
      </c>
      <c r="J16" s="35" t="s">
        <v>166</v>
      </c>
    </row>
    <row r="17">
      <c r="A17" s="35" t="s">
        <v>117</v>
      </c>
      <c r="B17" s="35" t="s">
        <v>172</v>
      </c>
      <c r="C17" s="38">
        <v>0.005600000000000001</v>
      </c>
      <c r="D17" s="35" t="s">
        <v>34</v>
      </c>
      <c r="E17" s="35" t="s">
        <v>173</v>
      </c>
      <c r="F17" s="35" t="s">
        <v>194</v>
      </c>
      <c r="G17" s="35">
        <v>7.0</v>
      </c>
      <c r="H17" s="35" t="s">
        <v>116</v>
      </c>
      <c r="I17" s="35" t="s">
        <v>165</v>
      </c>
      <c r="J17" s="35" t="s">
        <v>166</v>
      </c>
    </row>
    <row r="18">
      <c r="A18" s="35" t="s">
        <v>117</v>
      </c>
      <c r="B18" s="35" t="s">
        <v>175</v>
      </c>
      <c r="C18" s="38">
        <v>0.0115</v>
      </c>
      <c r="D18" s="35" t="s">
        <v>34</v>
      </c>
      <c r="E18" s="35" t="s">
        <v>173</v>
      </c>
      <c r="F18" s="35" t="s">
        <v>195</v>
      </c>
      <c r="G18" s="35">
        <v>5.0</v>
      </c>
      <c r="H18" s="35" t="s">
        <v>116</v>
      </c>
      <c r="I18" s="35" t="s">
        <v>165</v>
      </c>
      <c r="J18" s="35" t="s">
        <v>166</v>
      </c>
    </row>
    <row r="19">
      <c r="A19" s="35" t="s">
        <v>117</v>
      </c>
      <c r="B19" s="35" t="s">
        <v>177</v>
      </c>
      <c r="C19" s="38">
        <v>0.0239</v>
      </c>
      <c r="D19" s="35" t="s">
        <v>34</v>
      </c>
      <c r="E19" s="35" t="s">
        <v>163</v>
      </c>
      <c r="F19" s="35" t="s">
        <v>196</v>
      </c>
      <c r="G19" s="35">
        <v>4.0</v>
      </c>
      <c r="H19" s="35" t="s">
        <v>116</v>
      </c>
      <c r="I19" s="35" t="s">
        <v>165</v>
      </c>
      <c r="J19" s="35" t="s">
        <v>166</v>
      </c>
    </row>
    <row r="20">
      <c r="A20" s="36" t="s">
        <v>117</v>
      </c>
      <c r="B20" s="36" t="s">
        <v>179</v>
      </c>
      <c r="C20" s="39">
        <v>0.026600000000000002</v>
      </c>
      <c r="D20" s="36" t="s">
        <v>34</v>
      </c>
      <c r="E20" s="36" t="s">
        <v>163</v>
      </c>
      <c r="F20" s="36" t="s">
        <v>197</v>
      </c>
      <c r="G20" s="36">
        <v>2.0</v>
      </c>
      <c r="H20" s="36" t="s">
        <v>116</v>
      </c>
      <c r="I20" s="36" t="s">
        <v>165</v>
      </c>
      <c r="J20" s="36" t="s">
        <v>166</v>
      </c>
    </row>
    <row r="21" ht="15.75" customHeight="1">
      <c r="A21" s="36" t="s">
        <v>117</v>
      </c>
      <c r="B21" s="36" t="s">
        <v>181</v>
      </c>
      <c r="C21" s="39">
        <v>0.0084</v>
      </c>
      <c r="D21" s="36" t="s">
        <v>34</v>
      </c>
      <c r="E21" s="36" t="s">
        <v>173</v>
      </c>
      <c r="F21" s="36" t="s">
        <v>198</v>
      </c>
      <c r="G21" s="36">
        <v>6.0</v>
      </c>
      <c r="H21" s="36" t="s">
        <v>116</v>
      </c>
      <c r="I21" s="36" t="s">
        <v>165</v>
      </c>
      <c r="J21" s="36" t="s">
        <v>166</v>
      </c>
    </row>
    <row r="22" ht="15.75" customHeight="1">
      <c r="A22" s="36" t="s">
        <v>117</v>
      </c>
      <c r="B22" s="36" t="s">
        <v>183</v>
      </c>
      <c r="C22" s="39">
        <v>-7.000000000000001E-4</v>
      </c>
      <c r="D22" s="36" t="s">
        <v>36</v>
      </c>
      <c r="E22" s="36" t="s">
        <v>168</v>
      </c>
      <c r="F22" s="36" t="s">
        <v>199</v>
      </c>
      <c r="G22" s="36">
        <v>9.0</v>
      </c>
      <c r="H22" s="36" t="s">
        <v>147</v>
      </c>
      <c r="I22" s="36" t="s">
        <v>165</v>
      </c>
      <c r="J22" s="36" t="s">
        <v>166</v>
      </c>
    </row>
    <row r="23" ht="15.75" customHeight="1">
      <c r="A23" s="36" t="s">
        <v>117</v>
      </c>
      <c r="B23" s="36" t="s">
        <v>185</v>
      </c>
      <c r="C23" s="39">
        <v>-0.001</v>
      </c>
      <c r="D23" s="36" t="s">
        <v>36</v>
      </c>
      <c r="E23" s="36" t="s">
        <v>168</v>
      </c>
      <c r="F23" s="36" t="s">
        <v>200</v>
      </c>
      <c r="G23" s="36">
        <v>10.0</v>
      </c>
      <c r="H23" s="36" t="s">
        <v>147</v>
      </c>
      <c r="I23" s="36" t="s">
        <v>165</v>
      </c>
      <c r="J23" s="36" t="s">
        <v>166</v>
      </c>
    </row>
    <row r="24" ht="15.75" customHeight="1">
      <c r="A24" s="36" t="s">
        <v>117</v>
      </c>
      <c r="B24" s="36" t="s">
        <v>187</v>
      </c>
      <c r="C24" s="39">
        <v>0.053399999999999996</v>
      </c>
      <c r="D24" s="36" t="s">
        <v>34</v>
      </c>
      <c r="E24" s="36" t="s">
        <v>163</v>
      </c>
      <c r="F24" s="36" t="s">
        <v>201</v>
      </c>
      <c r="G24" s="36">
        <v>1.0</v>
      </c>
      <c r="H24" s="36" t="s">
        <v>116</v>
      </c>
      <c r="I24" s="36" t="s">
        <v>165</v>
      </c>
      <c r="J24" s="36" t="s">
        <v>166</v>
      </c>
    </row>
    <row r="25" ht="15.75" customHeight="1">
      <c r="A25" s="36" t="s">
        <v>117</v>
      </c>
      <c r="B25" s="36" t="s">
        <v>189</v>
      </c>
      <c r="C25" s="39">
        <v>0.0018</v>
      </c>
      <c r="D25" s="36" t="s">
        <v>36</v>
      </c>
      <c r="E25" s="36" t="s">
        <v>168</v>
      </c>
      <c r="F25" s="36" t="s">
        <v>202</v>
      </c>
      <c r="G25" s="36">
        <v>8.0</v>
      </c>
      <c r="H25" s="36" t="s">
        <v>147</v>
      </c>
      <c r="I25" s="36" t="s">
        <v>165</v>
      </c>
      <c r="J25" s="36" t="s">
        <v>166</v>
      </c>
    </row>
    <row r="26" ht="15.75" customHeight="1">
      <c r="A26" s="36" t="s">
        <v>118</v>
      </c>
      <c r="B26" s="36" t="s">
        <v>162</v>
      </c>
      <c r="C26" s="39">
        <v>0.009399999999999999</v>
      </c>
      <c r="D26" s="36" t="s">
        <v>34</v>
      </c>
      <c r="E26" s="36" t="s">
        <v>173</v>
      </c>
      <c r="F26" s="36" t="s">
        <v>203</v>
      </c>
      <c r="G26" s="36">
        <v>7.0</v>
      </c>
      <c r="H26" s="36" t="s">
        <v>116</v>
      </c>
      <c r="I26" s="36" t="s">
        <v>165</v>
      </c>
      <c r="J26" s="36" t="s">
        <v>166</v>
      </c>
    </row>
    <row r="27" ht="15.75" customHeight="1">
      <c r="A27" s="36" t="s">
        <v>118</v>
      </c>
      <c r="B27" s="36" t="s">
        <v>167</v>
      </c>
      <c r="C27" s="39">
        <v>-2.0E-4</v>
      </c>
      <c r="D27" s="36" t="s">
        <v>36</v>
      </c>
      <c r="E27" s="36" t="s">
        <v>168</v>
      </c>
      <c r="F27" s="36" t="s">
        <v>204</v>
      </c>
      <c r="G27" s="36">
        <v>9.0</v>
      </c>
      <c r="H27" s="36" t="s">
        <v>147</v>
      </c>
      <c r="I27" s="36" t="s">
        <v>165</v>
      </c>
      <c r="J27" s="36" t="s">
        <v>166</v>
      </c>
    </row>
    <row r="28" ht="15.75" customHeight="1">
      <c r="A28" s="36" t="s">
        <v>118</v>
      </c>
      <c r="B28" s="36" t="s">
        <v>170</v>
      </c>
      <c r="C28" s="39">
        <v>-0.005600000000000001</v>
      </c>
      <c r="D28" s="36" t="s">
        <v>35</v>
      </c>
      <c r="E28" s="36" t="s">
        <v>173</v>
      </c>
      <c r="F28" s="36" t="s">
        <v>205</v>
      </c>
      <c r="G28" s="36">
        <v>11.0</v>
      </c>
      <c r="H28" s="36" t="s">
        <v>116</v>
      </c>
      <c r="I28" s="36" t="s">
        <v>165</v>
      </c>
      <c r="J28" s="36" t="s">
        <v>166</v>
      </c>
    </row>
    <row r="29" ht="15.75" customHeight="1">
      <c r="A29" s="36" t="s">
        <v>118</v>
      </c>
      <c r="B29" s="36" t="s">
        <v>172</v>
      </c>
      <c r="C29" s="39">
        <v>0.021</v>
      </c>
      <c r="D29" s="36" t="s">
        <v>34</v>
      </c>
      <c r="E29" s="36" t="s">
        <v>163</v>
      </c>
      <c r="F29" s="36" t="s">
        <v>206</v>
      </c>
      <c r="G29" s="36">
        <v>3.0</v>
      </c>
      <c r="H29" s="36" t="s">
        <v>116</v>
      </c>
      <c r="I29" s="36" t="s">
        <v>165</v>
      </c>
      <c r="J29" s="36" t="s">
        <v>166</v>
      </c>
    </row>
    <row r="30" ht="15.75" customHeight="1">
      <c r="A30" s="36" t="s">
        <v>118</v>
      </c>
      <c r="B30" s="36" t="s">
        <v>175</v>
      </c>
      <c r="C30" s="39">
        <v>0.0168</v>
      </c>
      <c r="D30" s="36" t="s">
        <v>34</v>
      </c>
      <c r="E30" s="36" t="s">
        <v>173</v>
      </c>
      <c r="F30" s="36" t="s">
        <v>207</v>
      </c>
      <c r="G30" s="36">
        <v>4.0</v>
      </c>
      <c r="H30" s="36" t="s">
        <v>116</v>
      </c>
      <c r="I30" s="36" t="s">
        <v>165</v>
      </c>
      <c r="J30" s="36" t="s">
        <v>166</v>
      </c>
    </row>
    <row r="31" ht="15.75" customHeight="1">
      <c r="A31" s="36" t="s">
        <v>118</v>
      </c>
      <c r="B31" s="36" t="s">
        <v>177</v>
      </c>
      <c r="C31" s="39">
        <v>0.0104</v>
      </c>
      <c r="D31" s="36" t="s">
        <v>34</v>
      </c>
      <c r="E31" s="36" t="s">
        <v>173</v>
      </c>
      <c r="F31" s="36" t="s">
        <v>208</v>
      </c>
      <c r="G31" s="36">
        <v>6.0</v>
      </c>
      <c r="H31" s="36" t="s">
        <v>116</v>
      </c>
      <c r="I31" s="36" t="s">
        <v>165</v>
      </c>
      <c r="J31" s="36" t="s">
        <v>166</v>
      </c>
    </row>
    <row r="32" ht="15.75" customHeight="1">
      <c r="A32" s="36" t="s">
        <v>118</v>
      </c>
      <c r="B32" s="36" t="s">
        <v>179</v>
      </c>
      <c r="C32" s="39">
        <v>0.0315</v>
      </c>
      <c r="D32" s="36" t="s">
        <v>34</v>
      </c>
      <c r="E32" s="36" t="s">
        <v>163</v>
      </c>
      <c r="F32" s="36" t="s">
        <v>209</v>
      </c>
      <c r="G32" s="36">
        <v>2.0</v>
      </c>
      <c r="H32" s="36" t="s">
        <v>116</v>
      </c>
      <c r="I32" s="36" t="s">
        <v>165</v>
      </c>
      <c r="J32" s="36" t="s">
        <v>166</v>
      </c>
    </row>
    <row r="33" ht="15.75" customHeight="1">
      <c r="A33" s="36" t="s">
        <v>118</v>
      </c>
      <c r="B33" s="36" t="s">
        <v>181</v>
      </c>
      <c r="C33" s="39">
        <v>0.0027</v>
      </c>
      <c r="D33" s="36" t="s">
        <v>36</v>
      </c>
      <c r="E33" s="36" t="s">
        <v>168</v>
      </c>
      <c r="F33" s="36" t="s">
        <v>210</v>
      </c>
      <c r="G33" s="36">
        <v>8.0</v>
      </c>
      <c r="H33" s="36" t="s">
        <v>147</v>
      </c>
      <c r="I33" s="36" t="s">
        <v>165</v>
      </c>
      <c r="J33" s="36" t="s">
        <v>166</v>
      </c>
    </row>
    <row r="34" ht="15.75" customHeight="1">
      <c r="A34" s="36" t="s">
        <v>118</v>
      </c>
      <c r="B34" s="36" t="s">
        <v>183</v>
      </c>
      <c r="C34" s="39">
        <v>-0.0126</v>
      </c>
      <c r="D34" s="36" t="s">
        <v>35</v>
      </c>
      <c r="E34" s="36" t="s">
        <v>173</v>
      </c>
      <c r="F34" s="36" t="s">
        <v>211</v>
      </c>
      <c r="G34" s="36">
        <v>12.0</v>
      </c>
      <c r="H34" s="36" t="s">
        <v>116</v>
      </c>
      <c r="I34" s="36" t="s">
        <v>165</v>
      </c>
      <c r="J34" s="36" t="s">
        <v>166</v>
      </c>
    </row>
    <row r="35" ht="15.75" customHeight="1">
      <c r="A35" s="36" t="s">
        <v>118</v>
      </c>
      <c r="B35" s="36" t="s">
        <v>185</v>
      </c>
      <c r="C35" s="39">
        <v>0.012</v>
      </c>
      <c r="D35" s="36" t="s">
        <v>34</v>
      </c>
      <c r="E35" s="36" t="s">
        <v>173</v>
      </c>
      <c r="F35" s="36" t="s">
        <v>212</v>
      </c>
      <c r="G35" s="36">
        <v>5.0</v>
      </c>
      <c r="H35" s="36" t="s">
        <v>116</v>
      </c>
      <c r="I35" s="36" t="s">
        <v>165</v>
      </c>
      <c r="J35" s="36" t="s">
        <v>166</v>
      </c>
    </row>
    <row r="36" ht="15.75" customHeight="1">
      <c r="A36" s="36" t="s">
        <v>118</v>
      </c>
      <c r="B36" s="36" t="s">
        <v>187</v>
      </c>
      <c r="C36" s="39">
        <v>0.034</v>
      </c>
      <c r="D36" s="36" t="s">
        <v>34</v>
      </c>
      <c r="E36" s="36" t="s">
        <v>163</v>
      </c>
      <c r="F36" s="36" t="s">
        <v>213</v>
      </c>
      <c r="G36" s="36">
        <v>1.0</v>
      </c>
      <c r="H36" s="36" t="s">
        <v>116</v>
      </c>
      <c r="I36" s="36" t="s">
        <v>165</v>
      </c>
      <c r="J36" s="36" t="s">
        <v>166</v>
      </c>
    </row>
    <row r="37" ht="15.75" customHeight="1">
      <c r="A37" s="36" t="s">
        <v>118</v>
      </c>
      <c r="B37" s="36" t="s">
        <v>189</v>
      </c>
      <c r="C37" s="39">
        <v>-0.0034000000000000002</v>
      </c>
      <c r="D37" s="36" t="s">
        <v>36</v>
      </c>
      <c r="E37" s="36" t="s">
        <v>168</v>
      </c>
      <c r="F37" s="36" t="s">
        <v>214</v>
      </c>
      <c r="G37" s="36">
        <v>10.0</v>
      </c>
      <c r="H37" s="36" t="s">
        <v>147</v>
      </c>
      <c r="I37" s="36" t="s">
        <v>165</v>
      </c>
      <c r="J37" s="36" t="s">
        <v>166</v>
      </c>
    </row>
    <row r="38" ht="15.75" customHeight="1">
      <c r="A38" s="36" t="s">
        <v>119</v>
      </c>
      <c r="B38" s="36" t="s">
        <v>162</v>
      </c>
      <c r="C38" s="39">
        <v>0.02</v>
      </c>
      <c r="D38" s="36" t="s">
        <v>34</v>
      </c>
      <c r="E38" s="36" t="s">
        <v>163</v>
      </c>
      <c r="F38" s="36" t="s">
        <v>215</v>
      </c>
      <c r="G38" s="36">
        <v>5.0</v>
      </c>
      <c r="H38" s="36" t="s">
        <v>116</v>
      </c>
      <c r="I38" s="36" t="s">
        <v>165</v>
      </c>
      <c r="J38" s="36" t="s">
        <v>166</v>
      </c>
    </row>
    <row r="39" ht="15.75" customHeight="1">
      <c r="A39" s="36" t="s">
        <v>119</v>
      </c>
      <c r="B39" s="36" t="s">
        <v>167</v>
      </c>
      <c r="C39" s="39">
        <v>2.0E-4</v>
      </c>
      <c r="D39" s="36" t="s">
        <v>36</v>
      </c>
      <c r="E39" s="36" t="s">
        <v>168</v>
      </c>
      <c r="F39" s="36" t="s">
        <v>216</v>
      </c>
      <c r="G39" s="36">
        <v>9.0</v>
      </c>
      <c r="H39" s="36" t="s">
        <v>147</v>
      </c>
      <c r="I39" s="36" t="s">
        <v>165</v>
      </c>
      <c r="J39" s="36" t="s">
        <v>166</v>
      </c>
    </row>
    <row r="40" ht="15.75" customHeight="1">
      <c r="A40" s="36" t="s">
        <v>119</v>
      </c>
      <c r="B40" s="36" t="s">
        <v>170</v>
      </c>
      <c r="C40" s="39">
        <v>-0.0017000000000000001</v>
      </c>
      <c r="D40" s="36" t="s">
        <v>36</v>
      </c>
      <c r="E40" s="36" t="s">
        <v>168</v>
      </c>
      <c r="F40" s="36" t="s">
        <v>217</v>
      </c>
      <c r="G40" s="36">
        <v>10.0</v>
      </c>
      <c r="H40" s="36" t="s">
        <v>147</v>
      </c>
      <c r="I40" s="36" t="s">
        <v>165</v>
      </c>
      <c r="J40" s="36" t="s">
        <v>166</v>
      </c>
    </row>
    <row r="41" ht="15.75" customHeight="1">
      <c r="A41" s="36" t="s">
        <v>119</v>
      </c>
      <c r="B41" s="36" t="s">
        <v>172</v>
      </c>
      <c r="C41" s="39">
        <v>0.0255</v>
      </c>
      <c r="D41" s="36" t="s">
        <v>34</v>
      </c>
      <c r="E41" s="36" t="s">
        <v>163</v>
      </c>
      <c r="F41" s="36" t="s">
        <v>218</v>
      </c>
      <c r="G41" s="36">
        <v>4.0</v>
      </c>
      <c r="H41" s="36" t="s">
        <v>116</v>
      </c>
      <c r="I41" s="36" t="s">
        <v>165</v>
      </c>
      <c r="J41" s="36" t="s">
        <v>166</v>
      </c>
    </row>
    <row r="42" ht="15.75" customHeight="1">
      <c r="A42" s="36" t="s">
        <v>119</v>
      </c>
      <c r="B42" s="36" t="s">
        <v>175</v>
      </c>
      <c r="C42" s="39">
        <v>0.0358</v>
      </c>
      <c r="D42" s="36" t="s">
        <v>34</v>
      </c>
      <c r="E42" s="36" t="s">
        <v>163</v>
      </c>
      <c r="F42" s="36" t="s">
        <v>219</v>
      </c>
      <c r="G42" s="36">
        <v>2.0</v>
      </c>
      <c r="H42" s="36" t="s">
        <v>116</v>
      </c>
      <c r="I42" s="36" t="s">
        <v>165</v>
      </c>
      <c r="J42" s="36" t="s">
        <v>166</v>
      </c>
    </row>
    <row r="43" ht="15.75" customHeight="1">
      <c r="A43" s="36" t="s">
        <v>119</v>
      </c>
      <c r="B43" s="36" t="s">
        <v>177</v>
      </c>
      <c r="C43" s="39">
        <v>0.0144</v>
      </c>
      <c r="D43" s="36" t="s">
        <v>34</v>
      </c>
      <c r="E43" s="36" t="s">
        <v>173</v>
      </c>
      <c r="F43" s="36" t="s">
        <v>220</v>
      </c>
      <c r="G43" s="36">
        <v>7.0</v>
      </c>
      <c r="H43" s="36" t="s">
        <v>116</v>
      </c>
      <c r="I43" s="36" t="s">
        <v>165</v>
      </c>
      <c r="J43" s="36" t="s">
        <v>166</v>
      </c>
    </row>
    <row r="44" ht="15.75" customHeight="1">
      <c r="A44" s="36" t="s">
        <v>119</v>
      </c>
      <c r="B44" s="36" t="s">
        <v>179</v>
      </c>
      <c r="C44" s="39">
        <v>0.04190000000000001</v>
      </c>
      <c r="D44" s="36" t="s">
        <v>34</v>
      </c>
      <c r="E44" s="36" t="s">
        <v>163</v>
      </c>
      <c r="F44" s="36" t="s">
        <v>221</v>
      </c>
      <c r="G44" s="36">
        <v>1.0</v>
      </c>
      <c r="H44" s="36" t="s">
        <v>116</v>
      </c>
      <c r="I44" s="36" t="s">
        <v>165</v>
      </c>
      <c r="J44" s="36" t="s">
        <v>166</v>
      </c>
    </row>
    <row r="45" ht="15.75" customHeight="1">
      <c r="A45" s="36" t="s">
        <v>119</v>
      </c>
      <c r="B45" s="36" t="s">
        <v>181</v>
      </c>
      <c r="C45" s="39">
        <v>0.008199999999999999</v>
      </c>
      <c r="D45" s="36" t="s">
        <v>34</v>
      </c>
      <c r="E45" s="36" t="s">
        <v>173</v>
      </c>
      <c r="F45" s="36" t="s">
        <v>222</v>
      </c>
      <c r="G45" s="36">
        <v>8.0</v>
      </c>
      <c r="H45" s="36" t="s">
        <v>116</v>
      </c>
      <c r="I45" s="36" t="s">
        <v>165</v>
      </c>
      <c r="J45" s="36" t="s">
        <v>166</v>
      </c>
    </row>
    <row r="46" ht="15.75" customHeight="1">
      <c r="A46" s="36" t="s">
        <v>119</v>
      </c>
      <c r="B46" s="36" t="s">
        <v>183</v>
      </c>
      <c r="C46" s="39">
        <v>-0.0129</v>
      </c>
      <c r="D46" s="36" t="s">
        <v>35</v>
      </c>
      <c r="E46" s="36" t="s">
        <v>173</v>
      </c>
      <c r="F46" s="36" t="s">
        <v>223</v>
      </c>
      <c r="G46" s="36">
        <v>12.0</v>
      </c>
      <c r="H46" s="36" t="s">
        <v>116</v>
      </c>
      <c r="I46" s="36" t="s">
        <v>165</v>
      </c>
      <c r="J46" s="36" t="s">
        <v>166</v>
      </c>
    </row>
    <row r="47" ht="15.75" customHeight="1">
      <c r="A47" s="36" t="s">
        <v>119</v>
      </c>
      <c r="B47" s="36" t="s">
        <v>185</v>
      </c>
      <c r="C47" s="39">
        <v>0.0161</v>
      </c>
      <c r="D47" s="36" t="s">
        <v>34</v>
      </c>
      <c r="E47" s="36" t="s">
        <v>173</v>
      </c>
      <c r="F47" s="36" t="s">
        <v>224</v>
      </c>
      <c r="G47" s="36">
        <v>6.0</v>
      </c>
      <c r="H47" s="36" t="s">
        <v>116</v>
      </c>
      <c r="I47" s="36" t="s">
        <v>165</v>
      </c>
      <c r="J47" s="36" t="s">
        <v>166</v>
      </c>
    </row>
    <row r="48" ht="15.75" customHeight="1">
      <c r="A48" s="36" t="s">
        <v>119</v>
      </c>
      <c r="B48" s="36" t="s">
        <v>187</v>
      </c>
      <c r="C48" s="39">
        <v>0.0298</v>
      </c>
      <c r="D48" s="36" t="s">
        <v>34</v>
      </c>
      <c r="E48" s="36" t="s">
        <v>163</v>
      </c>
      <c r="F48" s="36" t="s">
        <v>225</v>
      </c>
      <c r="G48" s="36">
        <v>3.0</v>
      </c>
      <c r="H48" s="36" t="s">
        <v>116</v>
      </c>
      <c r="I48" s="36" t="s">
        <v>165</v>
      </c>
      <c r="J48" s="36" t="s">
        <v>166</v>
      </c>
    </row>
    <row r="49" ht="15.75" customHeight="1">
      <c r="A49" s="36" t="s">
        <v>119</v>
      </c>
      <c r="B49" s="36" t="s">
        <v>189</v>
      </c>
      <c r="C49" s="39">
        <v>-0.0053</v>
      </c>
      <c r="D49" s="36" t="s">
        <v>35</v>
      </c>
      <c r="E49" s="36" t="s">
        <v>173</v>
      </c>
      <c r="F49" s="36" t="s">
        <v>226</v>
      </c>
      <c r="G49" s="36">
        <v>11.0</v>
      </c>
      <c r="H49" s="36" t="s">
        <v>116</v>
      </c>
      <c r="I49" s="36" t="s">
        <v>165</v>
      </c>
      <c r="J49" s="36" t="s">
        <v>166</v>
      </c>
    </row>
    <row r="50" ht="15.75" customHeight="1">
      <c r="A50" s="36"/>
      <c r="B50" s="36"/>
      <c r="C50" s="39"/>
      <c r="D50" s="36"/>
      <c r="E50" s="36"/>
      <c r="F50" s="36"/>
      <c r="G50" s="36"/>
      <c r="H50" s="36"/>
      <c r="I50" s="36"/>
      <c r="J50" s="36"/>
    </row>
    <row r="51" ht="15.75" customHeight="1">
      <c r="A51" s="36"/>
      <c r="B51" s="36"/>
      <c r="C51" s="39"/>
      <c r="D51" s="36"/>
      <c r="E51" s="36"/>
      <c r="F51" s="36"/>
      <c r="G51" s="36"/>
      <c r="H51" s="36"/>
      <c r="I51" s="36"/>
      <c r="J51" s="36"/>
    </row>
    <row r="52" ht="15.75" customHeight="1">
      <c r="A52" s="36"/>
      <c r="B52" s="36"/>
      <c r="C52" s="39"/>
      <c r="D52" s="36"/>
      <c r="E52" s="36"/>
      <c r="F52" s="36"/>
      <c r="G52" s="36"/>
      <c r="H52" s="36"/>
      <c r="I52" s="36"/>
      <c r="J52" s="36"/>
    </row>
    <row r="53" ht="15.75" customHeight="1">
      <c r="A53" s="36"/>
      <c r="B53" s="36"/>
      <c r="C53" s="39"/>
      <c r="D53" s="36"/>
      <c r="E53" s="36"/>
      <c r="F53" s="36"/>
      <c r="G53" s="36"/>
      <c r="H53" s="36"/>
      <c r="I53" s="36"/>
      <c r="J53" s="36"/>
    </row>
    <row r="54" ht="15.75" customHeight="1">
      <c r="A54" s="36"/>
      <c r="B54" s="36"/>
      <c r="C54" s="39"/>
      <c r="D54" s="36"/>
      <c r="E54" s="36"/>
      <c r="F54" s="36"/>
      <c r="G54" s="36"/>
      <c r="H54" s="36"/>
      <c r="I54" s="36"/>
      <c r="J54" s="36"/>
    </row>
    <row r="55" ht="15.75" customHeight="1">
      <c r="A55" s="36"/>
      <c r="B55" s="36"/>
      <c r="C55" s="39"/>
      <c r="D55" s="36"/>
      <c r="E55" s="36"/>
      <c r="F55" s="36"/>
      <c r="G55" s="36"/>
      <c r="H55" s="36"/>
      <c r="I55" s="36"/>
      <c r="J55" s="36"/>
    </row>
    <row r="56" ht="15.75" customHeight="1">
      <c r="A56" s="36"/>
      <c r="B56" s="36"/>
      <c r="C56" s="39"/>
      <c r="D56" s="36"/>
      <c r="E56" s="36"/>
      <c r="F56" s="36"/>
      <c r="G56" s="36"/>
      <c r="H56" s="36"/>
      <c r="I56" s="36"/>
      <c r="J56" s="36"/>
    </row>
    <row r="57" ht="15.75" customHeight="1">
      <c r="A57" s="36"/>
      <c r="B57" s="36"/>
      <c r="C57" s="39"/>
      <c r="D57" s="36"/>
      <c r="E57" s="36"/>
      <c r="F57" s="36"/>
      <c r="G57" s="36"/>
      <c r="H57" s="36"/>
      <c r="I57" s="36"/>
      <c r="J57" s="36"/>
    </row>
    <row r="58" ht="15.75" customHeight="1">
      <c r="A58" s="36"/>
      <c r="B58" s="36"/>
      <c r="C58" s="39"/>
      <c r="D58" s="36"/>
      <c r="E58" s="36"/>
      <c r="F58" s="36"/>
      <c r="G58" s="36"/>
      <c r="H58" s="36"/>
      <c r="I58" s="36"/>
      <c r="J58" s="36"/>
    </row>
    <row r="59" ht="15.75" customHeight="1">
      <c r="A59" s="36"/>
      <c r="B59" s="36"/>
      <c r="C59" s="39"/>
      <c r="D59" s="36"/>
      <c r="E59" s="36"/>
      <c r="F59" s="36"/>
      <c r="G59" s="36"/>
      <c r="H59" s="36"/>
      <c r="I59" s="36"/>
      <c r="J59" s="36"/>
    </row>
    <row r="60" ht="15.75" customHeight="1">
      <c r="A60" s="36"/>
      <c r="B60" s="36"/>
      <c r="C60" s="39"/>
      <c r="D60" s="36"/>
      <c r="E60" s="36"/>
      <c r="F60" s="36"/>
      <c r="G60" s="36"/>
      <c r="H60" s="36"/>
      <c r="I60" s="36"/>
      <c r="J60" s="36"/>
    </row>
    <row r="61" ht="15.75" customHeight="1">
      <c r="A61" s="36"/>
      <c r="B61" s="36"/>
      <c r="C61" s="39"/>
      <c r="D61" s="36"/>
      <c r="E61" s="36"/>
      <c r="F61" s="36"/>
      <c r="G61" s="36"/>
      <c r="H61" s="36"/>
      <c r="I61" s="36"/>
      <c r="J61" s="36"/>
    </row>
    <row r="62" ht="15.75" customHeight="1">
      <c r="A62" s="36"/>
      <c r="B62" s="36"/>
      <c r="C62" s="39"/>
      <c r="D62" s="36"/>
      <c r="E62" s="36"/>
      <c r="F62" s="36"/>
      <c r="G62" s="36"/>
      <c r="H62" s="36"/>
      <c r="I62" s="36"/>
      <c r="J62" s="36"/>
    </row>
    <row r="63" ht="15.75" customHeight="1">
      <c r="A63" s="36"/>
      <c r="B63" s="36"/>
      <c r="C63" s="39"/>
      <c r="D63" s="36"/>
      <c r="E63" s="36"/>
      <c r="F63" s="36"/>
      <c r="G63" s="36"/>
      <c r="H63" s="36"/>
      <c r="I63" s="36"/>
      <c r="J63" s="36"/>
    </row>
    <row r="64" ht="15.75" customHeight="1">
      <c r="A64" s="36"/>
      <c r="B64" s="36"/>
      <c r="C64" s="39"/>
      <c r="D64" s="36"/>
      <c r="E64" s="36"/>
      <c r="F64" s="36"/>
      <c r="G64" s="36"/>
      <c r="H64" s="36"/>
      <c r="I64" s="36"/>
      <c r="J64" s="36"/>
    </row>
    <row r="65" ht="15.75" customHeight="1">
      <c r="A65" s="36"/>
      <c r="B65" s="36"/>
      <c r="C65" s="39"/>
      <c r="D65" s="36"/>
      <c r="E65" s="36"/>
      <c r="F65" s="36"/>
      <c r="G65" s="36"/>
      <c r="H65" s="36"/>
      <c r="I65" s="36"/>
      <c r="J65" s="36"/>
    </row>
    <row r="66" ht="15.75" customHeight="1">
      <c r="A66" s="36"/>
      <c r="B66" s="36"/>
      <c r="C66" s="39"/>
      <c r="D66" s="36"/>
      <c r="E66" s="36"/>
      <c r="F66" s="36"/>
      <c r="G66" s="36"/>
      <c r="H66" s="36"/>
      <c r="I66" s="36"/>
      <c r="J66" s="36"/>
    </row>
    <row r="67" ht="15.75" customHeight="1">
      <c r="A67" s="36"/>
      <c r="B67" s="36"/>
      <c r="C67" s="39"/>
      <c r="D67" s="36"/>
      <c r="E67" s="36"/>
      <c r="F67" s="36"/>
      <c r="G67" s="36"/>
      <c r="H67" s="36"/>
      <c r="I67" s="36"/>
      <c r="J67" s="36"/>
    </row>
    <row r="68" ht="15.75" customHeight="1">
      <c r="A68" s="36"/>
      <c r="B68" s="36"/>
      <c r="C68" s="39"/>
      <c r="D68" s="36"/>
      <c r="E68" s="36"/>
      <c r="F68" s="36"/>
      <c r="G68" s="36"/>
      <c r="H68" s="36"/>
      <c r="I68" s="36"/>
      <c r="J68" s="36"/>
    </row>
    <row r="69" ht="15.75" customHeight="1">
      <c r="A69" s="36"/>
      <c r="B69" s="36"/>
      <c r="C69" s="39"/>
      <c r="D69" s="36"/>
      <c r="E69" s="36"/>
      <c r="F69" s="36"/>
      <c r="G69" s="36"/>
      <c r="H69" s="36"/>
      <c r="I69" s="36"/>
      <c r="J69" s="36"/>
    </row>
    <row r="70" ht="15.75" customHeight="1">
      <c r="A70" s="36"/>
      <c r="B70" s="36"/>
      <c r="C70" s="39"/>
      <c r="D70" s="36"/>
      <c r="E70" s="36"/>
      <c r="F70" s="36"/>
      <c r="G70" s="36"/>
      <c r="H70" s="36"/>
      <c r="I70" s="36"/>
      <c r="J70" s="36"/>
    </row>
    <row r="71" ht="15.75" customHeight="1">
      <c r="A71" s="36"/>
      <c r="B71" s="36"/>
      <c r="C71" s="39"/>
      <c r="D71" s="36"/>
      <c r="E71" s="36"/>
      <c r="F71" s="36"/>
      <c r="G71" s="36"/>
      <c r="H71" s="36"/>
      <c r="I71" s="36"/>
      <c r="J71" s="36"/>
    </row>
    <row r="72" ht="15.75" customHeight="1">
      <c r="A72" s="36"/>
      <c r="B72" s="36"/>
      <c r="C72" s="39"/>
      <c r="D72" s="36"/>
      <c r="E72" s="36"/>
      <c r="F72" s="36"/>
      <c r="G72" s="36"/>
      <c r="H72" s="36"/>
      <c r="I72" s="36"/>
      <c r="J72" s="36"/>
    </row>
    <row r="73" ht="15.75" customHeight="1">
      <c r="A73" s="36"/>
      <c r="B73" s="36"/>
      <c r="C73" s="39"/>
      <c r="D73" s="36"/>
      <c r="E73" s="36"/>
      <c r="F73" s="36"/>
      <c r="G73" s="36"/>
      <c r="H73" s="36"/>
      <c r="I73" s="36"/>
      <c r="J73" s="36"/>
    </row>
    <row r="74" ht="15.75" customHeight="1">
      <c r="A74" s="36"/>
      <c r="B74" s="36"/>
      <c r="C74" s="39"/>
      <c r="D74" s="36"/>
      <c r="E74" s="36"/>
      <c r="F74" s="36"/>
      <c r="G74" s="36"/>
      <c r="H74" s="36"/>
      <c r="I74" s="36"/>
      <c r="J74" s="36"/>
    </row>
    <row r="75" ht="15.75" customHeight="1">
      <c r="A75" s="36"/>
      <c r="B75" s="36"/>
      <c r="C75" s="39"/>
      <c r="D75" s="36"/>
      <c r="E75" s="36"/>
      <c r="F75" s="36"/>
      <c r="G75" s="36"/>
      <c r="H75" s="36"/>
      <c r="I75" s="36"/>
      <c r="J75" s="36"/>
    </row>
    <row r="76" ht="15.75" customHeight="1">
      <c r="A76" s="36"/>
      <c r="B76" s="36"/>
      <c r="C76" s="39"/>
      <c r="D76" s="36"/>
      <c r="E76" s="36"/>
      <c r="F76" s="36"/>
      <c r="G76" s="36"/>
      <c r="H76" s="36"/>
      <c r="I76" s="36"/>
      <c r="J76" s="36"/>
    </row>
    <row r="77" ht="15.75" customHeight="1">
      <c r="A77" s="36"/>
      <c r="B77" s="36"/>
      <c r="C77" s="39"/>
      <c r="D77" s="36"/>
      <c r="E77" s="36"/>
      <c r="F77" s="36"/>
      <c r="G77" s="36"/>
      <c r="H77" s="36"/>
      <c r="I77" s="36"/>
      <c r="J77" s="36"/>
    </row>
    <row r="78" ht="15.75" customHeight="1">
      <c r="A78" s="36"/>
      <c r="B78" s="36"/>
      <c r="C78" s="39"/>
      <c r="D78" s="36"/>
      <c r="E78" s="36"/>
      <c r="F78" s="36"/>
      <c r="G78" s="36"/>
      <c r="H78" s="36"/>
      <c r="I78" s="36"/>
      <c r="J78" s="36"/>
    </row>
    <row r="79" ht="15.75" customHeight="1">
      <c r="A79" s="36"/>
      <c r="B79" s="36"/>
      <c r="C79" s="39"/>
      <c r="D79" s="36"/>
      <c r="E79" s="36"/>
      <c r="F79" s="36"/>
      <c r="G79" s="36"/>
      <c r="H79" s="36"/>
      <c r="I79" s="36"/>
      <c r="J79" s="36"/>
    </row>
    <row r="80" ht="15.75" customHeight="1">
      <c r="A80" s="36"/>
      <c r="B80" s="36"/>
      <c r="C80" s="39"/>
      <c r="D80" s="36"/>
      <c r="E80" s="36"/>
      <c r="F80" s="36"/>
      <c r="G80" s="36"/>
      <c r="H80" s="36"/>
      <c r="I80" s="36"/>
      <c r="J80" s="36"/>
    </row>
    <row r="81" ht="15.75" customHeight="1">
      <c r="A81" s="36"/>
      <c r="B81" s="36"/>
      <c r="C81" s="39"/>
      <c r="D81" s="36"/>
      <c r="E81" s="36"/>
      <c r="F81" s="36"/>
      <c r="G81" s="36"/>
      <c r="H81" s="36"/>
      <c r="I81" s="36"/>
      <c r="J81" s="36"/>
    </row>
    <row r="82" ht="15.75" customHeight="1">
      <c r="A82" s="36"/>
      <c r="B82" s="36"/>
      <c r="C82" s="39"/>
      <c r="D82" s="36"/>
      <c r="E82" s="36"/>
      <c r="F82" s="36"/>
      <c r="G82" s="36"/>
      <c r="H82" s="36"/>
      <c r="I82" s="36"/>
      <c r="J82" s="36"/>
    </row>
    <row r="83" ht="15.75" customHeight="1">
      <c r="A83" s="36"/>
      <c r="B83" s="36"/>
      <c r="C83" s="39"/>
      <c r="D83" s="36"/>
      <c r="E83" s="36"/>
      <c r="F83" s="36"/>
      <c r="G83" s="36"/>
      <c r="H83" s="36"/>
      <c r="I83" s="36"/>
      <c r="J83" s="36"/>
    </row>
    <row r="84" ht="15.75" customHeight="1">
      <c r="A84" s="36"/>
      <c r="B84" s="36"/>
      <c r="C84" s="39"/>
      <c r="D84" s="36"/>
      <c r="E84" s="36"/>
      <c r="F84" s="36"/>
      <c r="G84" s="36"/>
      <c r="H84" s="36"/>
      <c r="I84" s="36"/>
      <c r="J84" s="36"/>
    </row>
    <row r="85" ht="15.75" customHeight="1">
      <c r="A85" s="36"/>
      <c r="B85" s="36"/>
      <c r="C85" s="39"/>
      <c r="D85" s="36"/>
      <c r="E85" s="36"/>
      <c r="F85" s="36"/>
      <c r="G85" s="36"/>
      <c r="H85" s="36"/>
      <c r="I85" s="36"/>
      <c r="J85" s="36"/>
    </row>
    <row r="86" ht="15.75" customHeight="1">
      <c r="A86" s="36"/>
      <c r="B86" s="36"/>
      <c r="C86" s="39"/>
      <c r="D86" s="36"/>
      <c r="E86" s="36"/>
      <c r="F86" s="36"/>
      <c r="G86" s="36"/>
      <c r="H86" s="36"/>
      <c r="I86" s="36"/>
      <c r="J86" s="36"/>
    </row>
    <row r="87" ht="15.75" customHeight="1">
      <c r="A87" s="36"/>
      <c r="B87" s="36"/>
      <c r="C87" s="39"/>
      <c r="D87" s="36"/>
      <c r="E87" s="36"/>
      <c r="F87" s="36"/>
      <c r="G87" s="36"/>
      <c r="H87" s="36"/>
      <c r="I87" s="36"/>
      <c r="J87" s="36"/>
    </row>
    <row r="88" ht="15.75" customHeight="1">
      <c r="A88" s="36"/>
      <c r="B88" s="36"/>
      <c r="C88" s="39"/>
      <c r="D88" s="36"/>
      <c r="E88" s="36"/>
      <c r="F88" s="36"/>
      <c r="G88" s="36"/>
      <c r="H88" s="36"/>
      <c r="I88" s="36"/>
      <c r="J88" s="36"/>
    </row>
    <row r="89" ht="15.75" customHeight="1">
      <c r="A89" s="36"/>
      <c r="B89" s="36"/>
      <c r="C89" s="39"/>
      <c r="D89" s="36"/>
      <c r="E89" s="36"/>
      <c r="F89" s="36"/>
      <c r="G89" s="36"/>
      <c r="H89" s="36"/>
      <c r="I89" s="36"/>
      <c r="J89" s="36"/>
    </row>
    <row r="90" ht="15.75" customHeight="1">
      <c r="A90" s="36"/>
      <c r="B90" s="36"/>
      <c r="C90" s="39"/>
      <c r="D90" s="36"/>
      <c r="E90" s="36"/>
      <c r="F90" s="36"/>
      <c r="G90" s="36"/>
      <c r="H90" s="36"/>
      <c r="I90" s="36"/>
      <c r="J90" s="36"/>
    </row>
    <row r="91" ht="15.75" customHeight="1">
      <c r="A91" s="36"/>
      <c r="B91" s="36"/>
      <c r="C91" s="39"/>
      <c r="D91" s="36"/>
      <c r="E91" s="36"/>
      <c r="F91" s="36"/>
      <c r="G91" s="36"/>
      <c r="H91" s="36"/>
      <c r="I91" s="36"/>
      <c r="J91" s="36"/>
    </row>
    <row r="92" ht="15.75" customHeight="1">
      <c r="A92" s="36"/>
      <c r="B92" s="36"/>
      <c r="C92" s="39"/>
      <c r="D92" s="36"/>
      <c r="E92" s="36"/>
      <c r="F92" s="36"/>
      <c r="G92" s="36"/>
      <c r="H92" s="36"/>
      <c r="I92" s="36"/>
      <c r="J92" s="36"/>
    </row>
    <row r="93" ht="15.75" customHeight="1">
      <c r="A93" s="36"/>
      <c r="B93" s="36"/>
      <c r="C93" s="39"/>
      <c r="D93" s="36"/>
      <c r="E93" s="36"/>
      <c r="F93" s="36"/>
      <c r="G93" s="36"/>
      <c r="H93" s="36"/>
      <c r="I93" s="36"/>
      <c r="J93" s="36"/>
    </row>
    <row r="94" ht="15.75" customHeight="1">
      <c r="A94" s="36"/>
      <c r="B94" s="36"/>
      <c r="C94" s="39"/>
      <c r="D94" s="36"/>
      <c r="E94" s="36"/>
      <c r="F94" s="36"/>
      <c r="G94" s="36"/>
      <c r="H94" s="36"/>
      <c r="I94" s="36"/>
      <c r="J94" s="36"/>
    </row>
    <row r="95" ht="15.75" customHeight="1">
      <c r="A95" s="36"/>
      <c r="B95" s="36"/>
      <c r="C95" s="39"/>
      <c r="D95" s="36"/>
      <c r="E95" s="36"/>
      <c r="F95" s="36"/>
      <c r="G95" s="36"/>
      <c r="H95" s="36"/>
      <c r="I95" s="36"/>
      <c r="J95" s="36"/>
    </row>
    <row r="96" ht="15.75" customHeight="1">
      <c r="A96" s="36"/>
      <c r="B96" s="36"/>
      <c r="C96" s="39"/>
      <c r="D96" s="36"/>
      <c r="E96" s="36"/>
      <c r="F96" s="36"/>
      <c r="G96" s="36"/>
      <c r="H96" s="36"/>
      <c r="I96" s="36"/>
      <c r="J96" s="36"/>
    </row>
    <row r="97" ht="15.75" customHeight="1">
      <c r="A97" s="36"/>
      <c r="B97" s="36"/>
      <c r="C97" s="39"/>
      <c r="D97" s="36"/>
      <c r="E97" s="36"/>
      <c r="F97" s="36"/>
      <c r="G97" s="36"/>
      <c r="H97" s="36"/>
      <c r="I97" s="36"/>
      <c r="J97" s="36"/>
    </row>
    <row r="98" ht="15.75" customHeight="1">
      <c r="A98" s="36"/>
      <c r="B98" s="36"/>
      <c r="C98" s="39"/>
      <c r="D98" s="36"/>
      <c r="E98" s="36"/>
      <c r="F98" s="36"/>
      <c r="G98" s="36"/>
      <c r="H98" s="36"/>
      <c r="I98" s="36"/>
      <c r="J98" s="36"/>
    </row>
    <row r="99" ht="15.75" customHeight="1">
      <c r="A99" s="36"/>
      <c r="B99" s="36"/>
      <c r="C99" s="39"/>
      <c r="D99" s="36"/>
      <c r="E99" s="36"/>
      <c r="F99" s="36"/>
      <c r="G99" s="36"/>
      <c r="H99" s="36"/>
      <c r="I99" s="36"/>
      <c r="J99" s="36"/>
    </row>
    <row r="100" ht="15.75" customHeight="1">
      <c r="A100" s="36"/>
      <c r="B100" s="36"/>
      <c r="C100" s="39"/>
      <c r="D100" s="36"/>
      <c r="E100" s="36"/>
      <c r="F100" s="36"/>
      <c r="G100" s="36"/>
      <c r="H100" s="36"/>
      <c r="I100" s="36"/>
      <c r="J100" s="36"/>
    </row>
    <row r="101" ht="15.75" customHeight="1">
      <c r="A101" s="36"/>
      <c r="B101" s="36"/>
      <c r="C101" s="39"/>
      <c r="D101" s="36"/>
      <c r="E101" s="36"/>
      <c r="F101" s="36"/>
      <c r="G101" s="36"/>
      <c r="H101" s="36"/>
      <c r="I101" s="36"/>
      <c r="J101" s="36"/>
    </row>
    <row r="102" ht="15.75" customHeight="1">
      <c r="A102" s="36"/>
      <c r="B102" s="36"/>
      <c r="C102" s="39"/>
      <c r="D102" s="36"/>
      <c r="E102" s="36"/>
      <c r="F102" s="36"/>
      <c r="G102" s="36"/>
      <c r="H102" s="36"/>
      <c r="I102" s="36"/>
      <c r="J102" s="36"/>
    </row>
    <row r="103" ht="15.75" customHeight="1">
      <c r="A103" s="36"/>
      <c r="B103" s="36"/>
      <c r="C103" s="39"/>
      <c r="D103" s="36"/>
      <c r="E103" s="36"/>
      <c r="F103" s="36"/>
      <c r="G103" s="36"/>
      <c r="H103" s="36"/>
      <c r="I103" s="36"/>
      <c r="J103" s="36"/>
    </row>
    <row r="104" ht="15.75" customHeight="1">
      <c r="A104" s="36"/>
      <c r="B104" s="36"/>
      <c r="C104" s="39"/>
      <c r="D104" s="36"/>
      <c r="E104" s="36"/>
      <c r="F104" s="36"/>
      <c r="G104" s="36"/>
      <c r="H104" s="36"/>
      <c r="I104" s="36"/>
      <c r="J104" s="36"/>
    </row>
    <row r="105" ht="15.75" customHeight="1">
      <c r="A105" s="36"/>
      <c r="B105" s="36"/>
      <c r="C105" s="39"/>
      <c r="D105" s="36"/>
      <c r="E105" s="36"/>
      <c r="F105" s="36"/>
      <c r="G105" s="36"/>
      <c r="H105" s="36"/>
      <c r="I105" s="36"/>
      <c r="J105" s="36"/>
    </row>
    <row r="106" ht="15.75" customHeight="1">
      <c r="A106" s="36"/>
      <c r="B106" s="36"/>
      <c r="C106" s="39"/>
      <c r="D106" s="36"/>
      <c r="E106" s="36"/>
      <c r="F106" s="36"/>
      <c r="G106" s="36"/>
      <c r="H106" s="36"/>
      <c r="I106" s="36"/>
      <c r="J106" s="36"/>
    </row>
    <row r="107" ht="15.75" customHeight="1">
      <c r="A107" s="36"/>
      <c r="B107" s="36"/>
      <c r="C107" s="39"/>
      <c r="D107" s="36"/>
      <c r="E107" s="36"/>
      <c r="F107" s="36"/>
      <c r="G107" s="36"/>
      <c r="H107" s="36"/>
      <c r="I107" s="36"/>
      <c r="J107" s="36"/>
    </row>
    <row r="108" ht="15.75" customHeight="1">
      <c r="A108" s="36"/>
      <c r="B108" s="36"/>
      <c r="C108" s="39"/>
      <c r="D108" s="36"/>
      <c r="E108" s="36"/>
      <c r="F108" s="36"/>
      <c r="G108" s="36"/>
      <c r="H108" s="36"/>
      <c r="I108" s="36"/>
      <c r="J108" s="36"/>
    </row>
    <row r="109" ht="15.75" customHeight="1">
      <c r="A109" s="36"/>
      <c r="B109" s="36"/>
      <c r="C109" s="39"/>
      <c r="D109" s="36"/>
      <c r="E109" s="36"/>
      <c r="F109" s="36"/>
      <c r="G109" s="36"/>
      <c r="H109" s="36"/>
      <c r="I109" s="36"/>
      <c r="J109" s="36"/>
    </row>
    <row r="110" ht="15.75" customHeight="1">
      <c r="A110" s="36"/>
      <c r="B110" s="36"/>
      <c r="C110" s="39"/>
      <c r="D110" s="36"/>
      <c r="E110" s="36"/>
      <c r="F110" s="36"/>
      <c r="G110" s="36"/>
      <c r="H110" s="36"/>
      <c r="I110" s="36"/>
      <c r="J110" s="36"/>
    </row>
    <row r="111" ht="15.75" customHeight="1">
      <c r="A111" s="36"/>
      <c r="B111" s="36"/>
      <c r="C111" s="39"/>
      <c r="D111" s="36"/>
      <c r="E111" s="36"/>
      <c r="F111" s="36"/>
      <c r="G111" s="36"/>
      <c r="H111" s="36"/>
      <c r="I111" s="36"/>
      <c r="J111" s="36"/>
    </row>
    <row r="112" ht="15.75" customHeight="1">
      <c r="A112" s="36"/>
      <c r="B112" s="36"/>
      <c r="C112" s="39"/>
      <c r="D112" s="36"/>
      <c r="E112" s="36"/>
      <c r="F112" s="36"/>
      <c r="G112" s="36"/>
      <c r="H112" s="36"/>
      <c r="I112" s="36"/>
      <c r="J112" s="36"/>
    </row>
    <row r="113" ht="15.75" customHeight="1">
      <c r="A113" s="36"/>
      <c r="B113" s="36"/>
      <c r="C113" s="39"/>
      <c r="D113" s="36"/>
      <c r="E113" s="36"/>
      <c r="F113" s="36"/>
      <c r="G113" s="36"/>
      <c r="H113" s="36"/>
      <c r="I113" s="36"/>
      <c r="J113" s="36"/>
    </row>
    <row r="114" ht="15.75" customHeight="1">
      <c r="A114" s="36"/>
      <c r="B114" s="36"/>
      <c r="C114" s="39"/>
      <c r="D114" s="36"/>
      <c r="E114" s="36"/>
      <c r="F114" s="36"/>
      <c r="G114" s="36"/>
      <c r="H114" s="36"/>
      <c r="I114" s="36"/>
      <c r="J114" s="36"/>
    </row>
    <row r="115" ht="15.75" customHeight="1">
      <c r="A115" s="36"/>
      <c r="B115" s="36"/>
      <c r="C115" s="39"/>
      <c r="D115" s="36"/>
      <c r="E115" s="36"/>
      <c r="F115" s="36"/>
      <c r="G115" s="36"/>
      <c r="H115" s="36"/>
      <c r="I115" s="36"/>
      <c r="J115" s="36"/>
    </row>
    <row r="116" ht="15.75" customHeight="1">
      <c r="A116" s="36"/>
      <c r="B116" s="36"/>
      <c r="C116" s="39"/>
      <c r="D116" s="36"/>
      <c r="E116" s="36"/>
      <c r="F116" s="36"/>
      <c r="G116" s="36"/>
      <c r="H116" s="36"/>
      <c r="I116" s="36"/>
      <c r="J116" s="36"/>
    </row>
    <row r="117" ht="15.75" customHeight="1">
      <c r="A117" s="36"/>
      <c r="B117" s="36"/>
      <c r="C117" s="39"/>
      <c r="D117" s="36"/>
      <c r="E117" s="36"/>
      <c r="F117" s="36"/>
      <c r="G117" s="36"/>
      <c r="H117" s="36"/>
      <c r="I117" s="36"/>
      <c r="J117" s="36"/>
    </row>
    <row r="118" ht="15.75" customHeight="1">
      <c r="A118" s="36"/>
      <c r="B118" s="36"/>
      <c r="C118" s="39"/>
      <c r="D118" s="36"/>
      <c r="E118" s="36"/>
      <c r="F118" s="36"/>
      <c r="G118" s="36"/>
      <c r="H118" s="36"/>
      <c r="I118" s="36"/>
      <c r="J118" s="36"/>
    </row>
    <row r="119" ht="15.75" customHeight="1">
      <c r="A119" s="36"/>
      <c r="B119" s="36"/>
      <c r="C119" s="39"/>
      <c r="D119" s="36"/>
      <c r="E119" s="36"/>
      <c r="F119" s="36"/>
      <c r="G119" s="36"/>
      <c r="H119" s="36"/>
      <c r="I119" s="36"/>
      <c r="J119" s="36"/>
    </row>
    <row r="120" ht="15.75" customHeight="1">
      <c r="A120" s="36"/>
      <c r="B120" s="36"/>
      <c r="C120" s="39"/>
      <c r="D120" s="36"/>
      <c r="E120" s="36"/>
      <c r="F120" s="36"/>
      <c r="G120" s="36"/>
      <c r="H120" s="36"/>
      <c r="I120" s="36"/>
      <c r="J120" s="36"/>
    </row>
    <row r="121" ht="15.75" customHeight="1">
      <c r="A121" s="36"/>
      <c r="B121" s="36"/>
      <c r="C121" s="39"/>
      <c r="D121" s="36"/>
      <c r="E121" s="36"/>
      <c r="F121" s="36"/>
      <c r="G121" s="36"/>
      <c r="H121" s="36"/>
      <c r="I121" s="36"/>
      <c r="J121" s="36"/>
    </row>
    <row r="122" ht="15.75" customHeight="1">
      <c r="A122" s="36"/>
      <c r="B122" s="36"/>
      <c r="C122" s="39"/>
      <c r="D122" s="36"/>
      <c r="E122" s="36"/>
      <c r="F122" s="36"/>
      <c r="G122" s="36"/>
      <c r="H122" s="36"/>
      <c r="I122" s="36"/>
      <c r="J122" s="36"/>
    </row>
    <row r="123" ht="15.75" customHeight="1">
      <c r="A123" s="36"/>
      <c r="B123" s="36"/>
      <c r="C123" s="39"/>
      <c r="D123" s="36"/>
      <c r="E123" s="36"/>
      <c r="F123" s="36"/>
      <c r="G123" s="36"/>
      <c r="H123" s="36"/>
      <c r="I123" s="36"/>
      <c r="J123" s="36"/>
    </row>
    <row r="124" ht="15.75" customHeight="1">
      <c r="A124" s="36"/>
      <c r="B124" s="36"/>
      <c r="C124" s="39"/>
      <c r="D124" s="36"/>
      <c r="E124" s="36"/>
      <c r="F124" s="36"/>
      <c r="G124" s="36"/>
      <c r="H124" s="36"/>
      <c r="I124" s="36"/>
      <c r="J124" s="36"/>
    </row>
    <row r="125" ht="15.75" customHeight="1">
      <c r="A125" s="36"/>
      <c r="B125" s="36"/>
      <c r="C125" s="39"/>
      <c r="D125" s="36"/>
      <c r="E125" s="36"/>
      <c r="F125" s="36"/>
      <c r="G125" s="36"/>
      <c r="H125" s="36"/>
      <c r="I125" s="36"/>
      <c r="J125" s="36"/>
    </row>
    <row r="126" ht="15.75" customHeight="1">
      <c r="A126" s="36"/>
      <c r="B126" s="36"/>
      <c r="C126" s="39"/>
      <c r="D126" s="36"/>
      <c r="E126" s="36"/>
      <c r="F126" s="36"/>
      <c r="G126" s="36"/>
      <c r="H126" s="36"/>
      <c r="I126" s="36"/>
      <c r="J126" s="36"/>
    </row>
    <row r="127" ht="15.75" customHeight="1">
      <c r="A127" s="36"/>
      <c r="B127" s="36"/>
      <c r="C127" s="39"/>
      <c r="D127" s="36"/>
      <c r="E127" s="36"/>
      <c r="F127" s="36"/>
      <c r="G127" s="36"/>
      <c r="H127" s="36"/>
      <c r="I127" s="36"/>
      <c r="J127" s="36"/>
    </row>
    <row r="128" ht="15.75" customHeight="1">
      <c r="A128" s="36"/>
      <c r="B128" s="36"/>
      <c r="C128" s="39"/>
      <c r="D128" s="36"/>
      <c r="E128" s="36"/>
      <c r="F128" s="36"/>
      <c r="G128" s="36"/>
      <c r="H128" s="36"/>
      <c r="I128" s="36"/>
      <c r="J128" s="36"/>
    </row>
    <row r="129" ht="15.75" customHeight="1">
      <c r="A129" s="36"/>
      <c r="B129" s="36"/>
      <c r="C129" s="39"/>
      <c r="D129" s="36"/>
      <c r="E129" s="36"/>
      <c r="F129" s="36"/>
      <c r="G129" s="36"/>
      <c r="H129" s="36"/>
      <c r="I129" s="36"/>
      <c r="J129" s="36"/>
    </row>
    <row r="130" ht="15.75" customHeight="1">
      <c r="A130" s="36"/>
      <c r="B130" s="36"/>
      <c r="C130" s="39"/>
      <c r="D130" s="36"/>
      <c r="E130" s="36"/>
      <c r="F130" s="36"/>
      <c r="G130" s="36"/>
      <c r="H130" s="36"/>
      <c r="I130" s="36"/>
      <c r="J130" s="36"/>
    </row>
    <row r="131" ht="15.75" customHeight="1">
      <c r="A131" s="36"/>
      <c r="B131" s="36"/>
      <c r="C131" s="39"/>
      <c r="D131" s="36"/>
      <c r="E131" s="36"/>
      <c r="F131" s="36"/>
      <c r="G131" s="36"/>
      <c r="H131" s="36"/>
      <c r="I131" s="36"/>
      <c r="J131" s="36"/>
    </row>
    <row r="132" ht="15.75" customHeight="1">
      <c r="A132" s="36"/>
      <c r="B132" s="36"/>
      <c r="C132" s="39"/>
      <c r="D132" s="36"/>
      <c r="E132" s="36"/>
      <c r="F132" s="36"/>
      <c r="G132" s="36"/>
      <c r="H132" s="36"/>
      <c r="I132" s="36"/>
      <c r="J132" s="36"/>
    </row>
    <row r="133" ht="15.75" customHeight="1">
      <c r="A133" s="36"/>
      <c r="B133" s="36"/>
      <c r="C133" s="39"/>
      <c r="D133" s="36"/>
      <c r="E133" s="36"/>
      <c r="F133" s="36"/>
      <c r="G133" s="36"/>
      <c r="H133" s="36"/>
      <c r="I133" s="36"/>
      <c r="J133" s="36"/>
    </row>
    <row r="134" ht="15.75" customHeight="1">
      <c r="A134" s="36"/>
      <c r="B134" s="36"/>
      <c r="C134" s="39"/>
      <c r="D134" s="36"/>
      <c r="E134" s="36"/>
      <c r="F134" s="36"/>
      <c r="G134" s="36"/>
      <c r="H134" s="36"/>
      <c r="I134" s="36"/>
      <c r="J134" s="36"/>
    </row>
    <row r="135" ht="15.75" customHeight="1">
      <c r="A135" s="36"/>
      <c r="B135" s="36"/>
      <c r="C135" s="39"/>
      <c r="D135" s="36"/>
      <c r="E135" s="36"/>
      <c r="F135" s="36"/>
      <c r="G135" s="36"/>
      <c r="H135" s="36"/>
      <c r="I135" s="36"/>
      <c r="J135" s="36"/>
    </row>
    <row r="136" ht="15.75" customHeight="1">
      <c r="A136" s="36"/>
      <c r="B136" s="36"/>
      <c r="C136" s="39"/>
      <c r="D136" s="36"/>
      <c r="E136" s="36"/>
      <c r="F136" s="36"/>
      <c r="G136" s="36"/>
      <c r="H136" s="36"/>
      <c r="I136" s="36"/>
      <c r="J136" s="36"/>
    </row>
    <row r="137" ht="15.75" customHeight="1">
      <c r="A137" s="36"/>
      <c r="B137" s="36"/>
      <c r="C137" s="39"/>
      <c r="D137" s="36"/>
      <c r="E137" s="36"/>
      <c r="F137" s="36"/>
      <c r="G137" s="36"/>
      <c r="H137" s="36"/>
      <c r="I137" s="36"/>
      <c r="J137" s="36"/>
    </row>
    <row r="138" ht="15.75" customHeight="1">
      <c r="A138" s="36"/>
      <c r="B138" s="36"/>
      <c r="C138" s="39"/>
      <c r="D138" s="36"/>
      <c r="E138" s="36"/>
      <c r="F138" s="36"/>
      <c r="G138" s="36"/>
      <c r="H138" s="36"/>
      <c r="I138" s="36"/>
      <c r="J138" s="36"/>
    </row>
    <row r="139" ht="15.75" customHeight="1">
      <c r="A139" s="36"/>
      <c r="B139" s="36"/>
      <c r="C139" s="39"/>
      <c r="D139" s="36"/>
      <c r="E139" s="36"/>
      <c r="F139" s="36"/>
      <c r="G139" s="36"/>
      <c r="H139" s="36"/>
      <c r="I139" s="36"/>
      <c r="J139" s="36"/>
    </row>
    <row r="140" ht="15.75" customHeight="1">
      <c r="A140" s="36"/>
      <c r="B140" s="36"/>
      <c r="C140" s="39"/>
      <c r="D140" s="36"/>
      <c r="E140" s="36"/>
      <c r="F140" s="36"/>
      <c r="G140" s="36"/>
      <c r="H140" s="36"/>
      <c r="I140" s="36"/>
      <c r="J140" s="36"/>
    </row>
    <row r="141" ht="15.75" customHeight="1">
      <c r="A141" s="36"/>
      <c r="B141" s="36"/>
      <c r="C141" s="39"/>
      <c r="D141" s="36"/>
      <c r="E141" s="36"/>
      <c r="F141" s="36"/>
      <c r="G141" s="36"/>
      <c r="H141" s="36"/>
      <c r="I141" s="36"/>
      <c r="J141" s="36"/>
    </row>
    <row r="142" ht="15.75" customHeight="1">
      <c r="A142" s="36"/>
      <c r="B142" s="36"/>
      <c r="C142" s="39"/>
      <c r="D142" s="36"/>
      <c r="E142" s="36"/>
      <c r="F142" s="36"/>
      <c r="G142" s="36"/>
      <c r="H142" s="36"/>
      <c r="I142" s="36"/>
      <c r="J142" s="36"/>
    </row>
    <row r="143" ht="15.75" customHeight="1">
      <c r="A143" s="36"/>
      <c r="B143" s="36"/>
      <c r="C143" s="39"/>
      <c r="D143" s="36"/>
      <c r="E143" s="36"/>
      <c r="F143" s="36"/>
      <c r="G143" s="36"/>
      <c r="H143" s="36"/>
      <c r="I143" s="36"/>
      <c r="J143" s="36"/>
    </row>
    <row r="144" ht="15.75" customHeight="1">
      <c r="A144" s="36"/>
      <c r="B144" s="36"/>
      <c r="C144" s="39"/>
      <c r="D144" s="36"/>
      <c r="E144" s="36"/>
      <c r="F144" s="36"/>
      <c r="G144" s="36"/>
      <c r="H144" s="36"/>
      <c r="I144" s="36"/>
      <c r="J144" s="36"/>
    </row>
    <row r="145" ht="15.75" customHeight="1">
      <c r="A145" s="36"/>
      <c r="B145" s="36"/>
      <c r="C145" s="39"/>
      <c r="D145" s="36"/>
      <c r="E145" s="36"/>
      <c r="F145" s="36"/>
      <c r="G145" s="36"/>
      <c r="H145" s="36"/>
      <c r="I145" s="36"/>
      <c r="J145" s="36"/>
    </row>
    <row r="146" ht="15.75" customHeight="1">
      <c r="A146" s="36"/>
      <c r="B146" s="36"/>
      <c r="C146" s="39"/>
      <c r="D146" s="36"/>
      <c r="E146" s="36"/>
      <c r="F146" s="36"/>
      <c r="G146" s="36"/>
      <c r="H146" s="36"/>
      <c r="I146" s="36"/>
      <c r="J146" s="36"/>
    </row>
    <row r="147" ht="15.75" customHeight="1">
      <c r="A147" s="36"/>
      <c r="B147" s="36"/>
      <c r="C147" s="39"/>
      <c r="D147" s="36"/>
      <c r="E147" s="36"/>
      <c r="F147" s="36"/>
      <c r="G147" s="36"/>
      <c r="H147" s="36"/>
      <c r="I147" s="36"/>
      <c r="J147" s="36"/>
    </row>
    <row r="148" ht="15.75" customHeight="1">
      <c r="A148" s="36"/>
      <c r="B148" s="36"/>
      <c r="C148" s="39"/>
      <c r="D148" s="36"/>
      <c r="E148" s="36"/>
      <c r="F148" s="36"/>
      <c r="G148" s="36"/>
      <c r="H148" s="36"/>
      <c r="I148" s="36"/>
      <c r="J148" s="36"/>
    </row>
    <row r="149" ht="15.75" customHeight="1">
      <c r="A149" s="36"/>
      <c r="B149" s="36"/>
      <c r="C149" s="39"/>
      <c r="D149" s="36"/>
      <c r="E149" s="36"/>
      <c r="F149" s="36"/>
      <c r="G149" s="36"/>
      <c r="H149" s="36"/>
      <c r="I149" s="36"/>
      <c r="J149" s="36"/>
    </row>
    <row r="150" ht="15.75" customHeight="1">
      <c r="A150" s="36"/>
      <c r="B150" s="36"/>
      <c r="C150" s="39"/>
      <c r="D150" s="36"/>
      <c r="E150" s="36"/>
      <c r="F150" s="36"/>
      <c r="G150" s="36"/>
      <c r="H150" s="36"/>
      <c r="I150" s="36"/>
      <c r="J150" s="36"/>
    </row>
    <row r="151" ht="15.75" customHeight="1">
      <c r="A151" s="36"/>
      <c r="B151" s="36"/>
      <c r="C151" s="39"/>
      <c r="D151" s="36"/>
      <c r="E151" s="36"/>
      <c r="F151" s="36"/>
      <c r="G151" s="36"/>
      <c r="H151" s="36"/>
      <c r="I151" s="36"/>
      <c r="J151" s="36"/>
    </row>
    <row r="152" ht="15.75" customHeight="1">
      <c r="A152" s="36"/>
      <c r="B152" s="36"/>
      <c r="C152" s="39"/>
      <c r="D152" s="36"/>
      <c r="E152" s="36"/>
      <c r="F152" s="36"/>
      <c r="G152" s="36"/>
      <c r="H152" s="36"/>
      <c r="I152" s="36"/>
      <c r="J152" s="36"/>
    </row>
    <row r="153" ht="15.75" customHeight="1">
      <c r="A153" s="36"/>
      <c r="B153" s="36"/>
      <c r="C153" s="39"/>
      <c r="D153" s="36"/>
      <c r="E153" s="36"/>
      <c r="F153" s="36"/>
      <c r="G153" s="36"/>
      <c r="H153" s="36"/>
      <c r="I153" s="36"/>
      <c r="J153" s="36"/>
    </row>
    <row r="154" ht="15.75" customHeight="1">
      <c r="A154" s="36"/>
      <c r="B154" s="36"/>
      <c r="C154" s="39"/>
      <c r="D154" s="36"/>
      <c r="E154" s="36"/>
      <c r="F154" s="36"/>
      <c r="G154" s="36"/>
      <c r="H154" s="36"/>
      <c r="I154" s="36"/>
      <c r="J154" s="36"/>
    </row>
    <row r="155" ht="15.75" customHeight="1">
      <c r="A155" s="36"/>
      <c r="B155" s="36"/>
      <c r="C155" s="39"/>
      <c r="D155" s="36"/>
      <c r="E155" s="36"/>
      <c r="F155" s="36"/>
      <c r="G155" s="36"/>
      <c r="H155" s="36"/>
      <c r="I155" s="36"/>
      <c r="J155" s="36"/>
    </row>
    <row r="156" ht="15.75" customHeight="1">
      <c r="A156" s="36"/>
      <c r="B156" s="36"/>
      <c r="C156" s="39"/>
      <c r="D156" s="36"/>
      <c r="E156" s="36"/>
      <c r="F156" s="36"/>
      <c r="G156" s="36"/>
      <c r="H156" s="36"/>
      <c r="I156" s="36"/>
      <c r="J156" s="36"/>
    </row>
    <row r="157" ht="15.75" customHeight="1">
      <c r="A157" s="36"/>
      <c r="B157" s="36"/>
      <c r="C157" s="39"/>
      <c r="D157" s="36"/>
      <c r="E157" s="36"/>
      <c r="F157" s="36"/>
      <c r="G157" s="36"/>
      <c r="H157" s="36"/>
      <c r="I157" s="36"/>
      <c r="J157" s="36"/>
    </row>
    <row r="158" ht="15.75" customHeight="1">
      <c r="A158" s="36"/>
      <c r="B158" s="36"/>
      <c r="C158" s="39"/>
      <c r="D158" s="36"/>
      <c r="E158" s="36"/>
      <c r="F158" s="36"/>
      <c r="G158" s="36"/>
      <c r="H158" s="36"/>
      <c r="I158" s="36"/>
      <c r="J158" s="36"/>
    </row>
    <row r="159" ht="15.75" customHeight="1">
      <c r="A159" s="36"/>
      <c r="B159" s="36"/>
      <c r="C159" s="39"/>
      <c r="D159" s="36"/>
      <c r="E159" s="36"/>
      <c r="F159" s="36"/>
      <c r="G159" s="36"/>
      <c r="H159" s="36"/>
      <c r="I159" s="36"/>
      <c r="J159" s="36"/>
    </row>
    <row r="160" ht="15.75" customHeight="1">
      <c r="A160" s="36"/>
      <c r="B160" s="36"/>
      <c r="C160" s="39"/>
      <c r="D160" s="36"/>
      <c r="E160" s="36"/>
      <c r="F160" s="36"/>
      <c r="G160" s="36"/>
      <c r="H160" s="36"/>
      <c r="I160" s="36"/>
      <c r="J160" s="36"/>
    </row>
    <row r="161" ht="15.75" customHeight="1">
      <c r="A161" s="36"/>
      <c r="B161" s="36"/>
      <c r="C161" s="39"/>
      <c r="D161" s="36"/>
      <c r="E161" s="36"/>
      <c r="F161" s="36"/>
      <c r="G161" s="36"/>
      <c r="H161" s="36"/>
      <c r="I161" s="36"/>
      <c r="J161" s="36"/>
    </row>
    <row r="162" ht="15.75" customHeight="1">
      <c r="A162" s="36"/>
      <c r="B162" s="36"/>
      <c r="C162" s="39"/>
      <c r="D162" s="36"/>
      <c r="E162" s="36"/>
      <c r="F162" s="36"/>
      <c r="G162" s="36"/>
      <c r="H162" s="36"/>
      <c r="I162" s="36"/>
      <c r="J162" s="36"/>
    </row>
    <row r="163" ht="15.75" customHeight="1">
      <c r="A163" s="36"/>
      <c r="B163" s="36"/>
      <c r="C163" s="39"/>
      <c r="D163" s="36"/>
      <c r="E163" s="36"/>
      <c r="F163" s="36"/>
      <c r="G163" s="36"/>
      <c r="H163" s="36"/>
      <c r="I163" s="36"/>
      <c r="J163" s="36"/>
    </row>
    <row r="164" ht="15.75" customHeight="1">
      <c r="A164" s="36"/>
      <c r="B164" s="36"/>
      <c r="C164" s="39"/>
      <c r="D164" s="36"/>
      <c r="E164" s="36"/>
      <c r="F164" s="36"/>
      <c r="G164" s="36"/>
      <c r="H164" s="36"/>
      <c r="I164" s="36"/>
      <c r="J164" s="36"/>
    </row>
    <row r="165" ht="15.75" customHeight="1">
      <c r="A165" s="36"/>
      <c r="B165" s="36"/>
      <c r="C165" s="39"/>
      <c r="D165" s="36"/>
      <c r="E165" s="36"/>
      <c r="F165" s="36"/>
      <c r="G165" s="36"/>
      <c r="H165" s="36"/>
      <c r="I165" s="36"/>
      <c r="J165" s="36"/>
    </row>
    <row r="166" ht="15.75" customHeight="1">
      <c r="A166" s="36"/>
      <c r="B166" s="36"/>
      <c r="C166" s="39"/>
      <c r="D166" s="36"/>
      <c r="E166" s="36"/>
      <c r="F166" s="36"/>
      <c r="G166" s="36"/>
      <c r="H166" s="36"/>
      <c r="I166" s="36"/>
      <c r="J166" s="36"/>
    </row>
    <row r="167" ht="15.75" customHeight="1">
      <c r="A167" s="36"/>
      <c r="B167" s="36"/>
      <c r="C167" s="39"/>
      <c r="D167" s="36"/>
      <c r="E167" s="36"/>
      <c r="F167" s="36"/>
      <c r="G167" s="36"/>
      <c r="H167" s="36"/>
      <c r="I167" s="36"/>
      <c r="J167" s="36"/>
    </row>
    <row r="168" ht="15.75" customHeight="1">
      <c r="A168" s="36"/>
      <c r="B168" s="36"/>
      <c r="C168" s="39"/>
      <c r="D168" s="36"/>
      <c r="E168" s="36"/>
      <c r="F168" s="36"/>
      <c r="G168" s="36"/>
      <c r="H168" s="36"/>
      <c r="I168" s="36"/>
      <c r="J168" s="36"/>
    </row>
    <row r="169" ht="15.75" customHeight="1">
      <c r="A169" s="36"/>
      <c r="B169" s="36"/>
      <c r="C169" s="39"/>
      <c r="D169" s="36"/>
      <c r="E169" s="36"/>
      <c r="F169" s="36"/>
      <c r="G169" s="36"/>
      <c r="H169" s="36"/>
      <c r="I169" s="36"/>
      <c r="J169" s="36"/>
    </row>
    <row r="170" ht="15.75" customHeight="1">
      <c r="A170" s="36"/>
      <c r="B170" s="36"/>
      <c r="C170" s="39"/>
      <c r="D170" s="36"/>
      <c r="E170" s="36"/>
      <c r="F170" s="36"/>
      <c r="G170" s="36"/>
      <c r="H170" s="36"/>
      <c r="I170" s="36"/>
      <c r="J170" s="36"/>
    </row>
    <row r="171" ht="15.75" customHeight="1">
      <c r="A171" s="36"/>
      <c r="B171" s="36"/>
      <c r="C171" s="39"/>
      <c r="D171" s="36"/>
      <c r="E171" s="36"/>
      <c r="F171" s="36"/>
      <c r="G171" s="36"/>
      <c r="H171" s="36"/>
      <c r="I171" s="36"/>
      <c r="J171" s="36"/>
    </row>
    <row r="172" ht="15.75" customHeight="1">
      <c r="A172" s="36"/>
      <c r="B172" s="36"/>
      <c r="C172" s="39"/>
      <c r="D172" s="36"/>
      <c r="E172" s="36"/>
      <c r="F172" s="36"/>
      <c r="G172" s="36"/>
      <c r="H172" s="36"/>
      <c r="I172" s="36"/>
      <c r="J172" s="36"/>
    </row>
    <row r="173" ht="15.75" customHeight="1">
      <c r="A173" s="36"/>
      <c r="B173" s="36"/>
      <c r="C173" s="39"/>
      <c r="D173" s="36"/>
      <c r="E173" s="36"/>
      <c r="F173" s="36"/>
      <c r="G173" s="36"/>
      <c r="H173" s="36"/>
      <c r="I173" s="36"/>
      <c r="J173" s="36"/>
    </row>
    <row r="174" ht="15.75" customHeight="1">
      <c r="A174" s="36"/>
      <c r="B174" s="36"/>
      <c r="C174" s="39"/>
      <c r="D174" s="36"/>
      <c r="E174" s="36"/>
      <c r="F174" s="36"/>
      <c r="G174" s="36"/>
      <c r="H174" s="36"/>
      <c r="I174" s="36"/>
      <c r="J174" s="36"/>
    </row>
    <row r="175" ht="15.75" customHeight="1">
      <c r="A175" s="36"/>
      <c r="B175" s="36"/>
      <c r="C175" s="39"/>
      <c r="D175" s="36"/>
      <c r="E175" s="36"/>
      <c r="F175" s="36"/>
      <c r="G175" s="36"/>
      <c r="H175" s="36"/>
      <c r="I175" s="36"/>
      <c r="J175" s="36"/>
    </row>
    <row r="176" ht="15.75" customHeight="1">
      <c r="A176" s="36"/>
      <c r="B176" s="36"/>
      <c r="C176" s="39"/>
      <c r="D176" s="36"/>
      <c r="E176" s="36"/>
      <c r="F176" s="36"/>
      <c r="G176" s="36"/>
      <c r="H176" s="36"/>
      <c r="I176" s="36"/>
      <c r="J176" s="36"/>
    </row>
    <row r="177" ht="15.75" customHeight="1">
      <c r="A177" s="36"/>
      <c r="B177" s="36"/>
      <c r="C177" s="39"/>
      <c r="D177" s="36"/>
      <c r="E177" s="36"/>
      <c r="F177" s="36"/>
      <c r="G177" s="36"/>
      <c r="H177" s="36"/>
      <c r="I177" s="36"/>
      <c r="J177" s="36"/>
    </row>
    <row r="178" ht="15.75" customHeight="1">
      <c r="A178" s="36"/>
      <c r="B178" s="36"/>
      <c r="C178" s="39"/>
      <c r="D178" s="36"/>
      <c r="E178" s="36"/>
      <c r="F178" s="36"/>
      <c r="G178" s="36"/>
      <c r="H178" s="36"/>
      <c r="I178" s="36"/>
      <c r="J178" s="36"/>
    </row>
    <row r="179" ht="15.75" customHeight="1">
      <c r="A179" s="36"/>
      <c r="B179" s="36"/>
      <c r="C179" s="39"/>
      <c r="D179" s="36"/>
      <c r="E179" s="36"/>
      <c r="F179" s="36"/>
      <c r="G179" s="36"/>
      <c r="H179" s="36"/>
      <c r="I179" s="36"/>
      <c r="J179" s="36"/>
    </row>
    <row r="180" ht="15.75" customHeight="1">
      <c r="A180" s="36"/>
      <c r="B180" s="36"/>
      <c r="C180" s="39"/>
      <c r="D180" s="36"/>
      <c r="E180" s="36"/>
      <c r="F180" s="36"/>
      <c r="G180" s="36"/>
      <c r="H180" s="36"/>
      <c r="I180" s="36"/>
      <c r="J180" s="36"/>
    </row>
    <row r="181" ht="15.75" customHeight="1">
      <c r="A181" s="36"/>
      <c r="B181" s="36"/>
      <c r="C181" s="39"/>
      <c r="D181" s="36"/>
      <c r="E181" s="36"/>
      <c r="F181" s="36"/>
      <c r="G181" s="36"/>
      <c r="H181" s="36"/>
      <c r="I181" s="36"/>
      <c r="J181" s="36"/>
    </row>
    <row r="182" ht="15.75" customHeight="1">
      <c r="A182" s="36"/>
      <c r="B182" s="36"/>
      <c r="C182" s="39"/>
      <c r="D182" s="36"/>
      <c r="E182" s="36"/>
      <c r="F182" s="36"/>
      <c r="G182" s="36"/>
      <c r="H182" s="36"/>
      <c r="I182" s="36"/>
      <c r="J182" s="36"/>
    </row>
    <row r="183" ht="15.75" customHeight="1">
      <c r="A183" s="36"/>
      <c r="B183" s="36"/>
      <c r="C183" s="39"/>
      <c r="D183" s="36"/>
      <c r="E183" s="36"/>
      <c r="F183" s="36"/>
      <c r="G183" s="36"/>
      <c r="H183" s="36"/>
      <c r="I183" s="36"/>
      <c r="J183" s="36"/>
    </row>
    <row r="184" ht="15.75" customHeight="1">
      <c r="A184" s="36"/>
      <c r="B184" s="36"/>
      <c r="C184" s="39"/>
      <c r="D184" s="36"/>
      <c r="E184" s="36"/>
      <c r="F184" s="36"/>
      <c r="G184" s="36"/>
      <c r="H184" s="36"/>
      <c r="I184" s="36"/>
      <c r="J184" s="36"/>
    </row>
    <row r="185" ht="15.75" customHeight="1">
      <c r="A185" s="36"/>
      <c r="B185" s="36"/>
      <c r="C185" s="39"/>
      <c r="D185" s="36"/>
      <c r="E185" s="36"/>
      <c r="F185" s="36"/>
      <c r="G185" s="36"/>
      <c r="H185" s="36"/>
      <c r="I185" s="36"/>
      <c r="J185" s="36"/>
    </row>
    <row r="186" ht="15.75" customHeight="1">
      <c r="A186" s="36"/>
      <c r="B186" s="36"/>
      <c r="C186" s="39"/>
      <c r="D186" s="36"/>
      <c r="E186" s="36"/>
      <c r="F186" s="36"/>
      <c r="G186" s="36"/>
      <c r="H186" s="36"/>
      <c r="I186" s="36"/>
      <c r="J186" s="36"/>
    </row>
    <row r="187" ht="15.75" customHeight="1">
      <c r="A187" s="36"/>
      <c r="B187" s="36"/>
      <c r="C187" s="39"/>
      <c r="D187" s="36"/>
      <c r="E187" s="36"/>
      <c r="F187" s="36"/>
      <c r="G187" s="36"/>
      <c r="H187" s="36"/>
      <c r="I187" s="36"/>
      <c r="J187" s="36"/>
    </row>
    <row r="188" ht="15.75" customHeight="1">
      <c r="A188" s="36"/>
      <c r="B188" s="36"/>
      <c r="C188" s="39"/>
      <c r="D188" s="36"/>
      <c r="E188" s="36"/>
      <c r="F188" s="36"/>
      <c r="G188" s="36"/>
      <c r="H188" s="36"/>
      <c r="I188" s="36"/>
      <c r="J188" s="36"/>
    </row>
    <row r="189" ht="15.75" customHeight="1">
      <c r="A189" s="36"/>
      <c r="B189" s="36"/>
      <c r="C189" s="39"/>
      <c r="D189" s="36"/>
      <c r="E189" s="36"/>
      <c r="F189" s="36"/>
      <c r="G189" s="36"/>
      <c r="H189" s="36"/>
      <c r="I189" s="36"/>
      <c r="J189" s="36"/>
    </row>
    <row r="190" ht="15.75" customHeight="1">
      <c r="A190" s="36"/>
      <c r="B190" s="36"/>
      <c r="C190" s="39"/>
      <c r="D190" s="36"/>
      <c r="E190" s="36"/>
      <c r="F190" s="36"/>
      <c r="G190" s="36"/>
      <c r="H190" s="36"/>
      <c r="I190" s="36"/>
      <c r="J190" s="36"/>
    </row>
    <row r="191" ht="15.75" customHeight="1">
      <c r="A191" s="36"/>
      <c r="B191" s="36"/>
      <c r="C191" s="39"/>
      <c r="D191" s="36"/>
      <c r="E191" s="36"/>
      <c r="F191" s="36"/>
      <c r="G191" s="36"/>
      <c r="H191" s="36"/>
      <c r="I191" s="36"/>
      <c r="J191" s="36"/>
    </row>
    <row r="192" ht="15.75" customHeight="1">
      <c r="A192" s="36"/>
      <c r="B192" s="36"/>
      <c r="C192" s="39"/>
      <c r="D192" s="36"/>
      <c r="E192" s="36"/>
      <c r="F192" s="36"/>
      <c r="G192" s="36"/>
      <c r="H192" s="36"/>
      <c r="I192" s="36"/>
      <c r="J192" s="36"/>
    </row>
    <row r="193" ht="15.75" customHeight="1">
      <c r="A193" s="36"/>
      <c r="B193" s="36"/>
      <c r="C193" s="39"/>
      <c r="D193" s="36"/>
      <c r="E193" s="36"/>
      <c r="F193" s="36"/>
      <c r="G193" s="36"/>
      <c r="H193" s="36"/>
      <c r="I193" s="36"/>
      <c r="J193" s="36"/>
    </row>
    <row r="194" ht="15.75" customHeight="1">
      <c r="A194" s="36"/>
      <c r="B194" s="36"/>
      <c r="C194" s="39"/>
      <c r="D194" s="36"/>
      <c r="E194" s="36"/>
      <c r="F194" s="36"/>
      <c r="G194" s="36"/>
      <c r="H194" s="36"/>
      <c r="I194" s="36"/>
      <c r="J194" s="36"/>
    </row>
    <row r="195" ht="15.75" customHeight="1">
      <c r="A195" s="36"/>
      <c r="B195" s="36"/>
      <c r="C195" s="39"/>
      <c r="D195" s="36"/>
      <c r="E195" s="36"/>
      <c r="F195" s="36"/>
      <c r="G195" s="36"/>
      <c r="H195" s="36"/>
      <c r="I195" s="36"/>
      <c r="J195" s="36"/>
    </row>
    <row r="196" ht="15.75" customHeight="1">
      <c r="A196" s="36"/>
      <c r="B196" s="36"/>
      <c r="C196" s="39"/>
      <c r="D196" s="36"/>
      <c r="E196" s="36"/>
      <c r="F196" s="36"/>
      <c r="G196" s="36"/>
      <c r="H196" s="36"/>
      <c r="I196" s="36"/>
      <c r="J196" s="36"/>
    </row>
    <row r="197" ht="15.75" customHeight="1">
      <c r="A197" s="36"/>
      <c r="B197" s="36"/>
      <c r="C197" s="39"/>
      <c r="D197" s="36"/>
      <c r="E197" s="36"/>
      <c r="F197" s="36"/>
      <c r="G197" s="36"/>
      <c r="H197" s="36"/>
      <c r="I197" s="36"/>
      <c r="J197" s="36"/>
    </row>
    <row r="198" ht="15.75" customHeight="1">
      <c r="A198" s="36"/>
      <c r="B198" s="36"/>
      <c r="C198" s="39"/>
      <c r="D198" s="36"/>
      <c r="E198" s="36"/>
      <c r="F198" s="36"/>
      <c r="G198" s="36"/>
      <c r="H198" s="36"/>
      <c r="I198" s="36"/>
      <c r="J198" s="36"/>
    </row>
    <row r="199" ht="15.75" customHeight="1">
      <c r="A199" s="36"/>
      <c r="B199" s="36"/>
      <c r="C199" s="39"/>
      <c r="D199" s="36"/>
      <c r="E199" s="36"/>
      <c r="F199" s="36"/>
      <c r="G199" s="36"/>
      <c r="H199" s="36"/>
      <c r="I199" s="36"/>
      <c r="J199" s="36"/>
    </row>
    <row r="200" ht="15.75" customHeight="1">
      <c r="A200" s="36"/>
      <c r="B200" s="36"/>
      <c r="C200" s="39"/>
      <c r="D200" s="36"/>
      <c r="E200" s="36"/>
      <c r="F200" s="36"/>
      <c r="G200" s="36"/>
      <c r="H200" s="36"/>
      <c r="I200" s="36"/>
      <c r="J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9" width="18.0"/>
    <col customWidth="1" min="10" max="10" width="24.0"/>
    <col customWidth="1" min="11" max="11" width="18.0"/>
  </cols>
  <sheetData>
    <row r="1">
      <c r="A1" s="23" t="s">
        <v>91</v>
      </c>
      <c r="B1" s="23" t="s">
        <v>227</v>
      </c>
      <c r="C1" s="23" t="s">
        <v>75</v>
      </c>
      <c r="D1" s="23" t="s">
        <v>76</v>
      </c>
      <c r="E1" s="23" t="s">
        <v>77</v>
      </c>
      <c r="F1" s="23" t="s">
        <v>228</v>
      </c>
      <c r="G1" s="23" t="s">
        <v>229</v>
      </c>
      <c r="H1" s="23" t="s">
        <v>79</v>
      </c>
      <c r="I1" s="23" t="s">
        <v>230</v>
      </c>
      <c r="J1" s="23" t="s">
        <v>4</v>
      </c>
      <c r="K1" s="23" t="s">
        <v>88</v>
      </c>
    </row>
    <row r="2">
      <c r="A2" s="35" t="s">
        <v>17</v>
      </c>
      <c r="B2" s="35" t="s">
        <v>36</v>
      </c>
      <c r="C2" s="35" t="s">
        <v>231</v>
      </c>
      <c r="D2" s="35" t="s">
        <v>232</v>
      </c>
      <c r="E2" s="35" t="s">
        <v>233</v>
      </c>
      <c r="F2" s="35" t="s">
        <v>234</v>
      </c>
      <c r="G2" s="35" t="s">
        <v>235</v>
      </c>
      <c r="H2" s="35" t="s">
        <v>236</v>
      </c>
      <c r="I2" s="35" t="s">
        <v>237</v>
      </c>
      <c r="J2" s="35" t="s">
        <v>238</v>
      </c>
      <c r="K2" s="35" t="s">
        <v>166</v>
      </c>
    </row>
    <row r="3">
      <c r="A3" s="35" t="s">
        <v>17</v>
      </c>
      <c r="B3" s="35" t="s">
        <v>34</v>
      </c>
      <c r="C3" s="35" t="s">
        <v>239</v>
      </c>
      <c r="D3" s="35" t="s">
        <v>240</v>
      </c>
      <c r="E3" s="35" t="s">
        <v>241</v>
      </c>
      <c r="F3" s="35" t="s">
        <v>234</v>
      </c>
      <c r="G3" s="35" t="s">
        <v>242</v>
      </c>
      <c r="H3" s="35" t="s">
        <v>243</v>
      </c>
      <c r="I3" s="35" t="s">
        <v>244</v>
      </c>
      <c r="J3" s="35" t="s">
        <v>238</v>
      </c>
      <c r="K3" s="35" t="s">
        <v>166</v>
      </c>
    </row>
    <row r="4">
      <c r="A4" s="35" t="s">
        <v>17</v>
      </c>
      <c r="B4" s="35" t="s">
        <v>35</v>
      </c>
      <c r="C4" s="35" t="s">
        <v>245</v>
      </c>
      <c r="D4" s="35" t="s">
        <v>246</v>
      </c>
      <c r="E4" s="35" t="s">
        <v>247</v>
      </c>
      <c r="F4" s="35" t="s">
        <v>234</v>
      </c>
      <c r="G4" s="35" t="s">
        <v>248</v>
      </c>
      <c r="H4" s="35" t="s">
        <v>243</v>
      </c>
      <c r="I4" s="35" t="s">
        <v>249</v>
      </c>
      <c r="J4" s="35" t="s">
        <v>238</v>
      </c>
      <c r="K4" s="35" t="s">
        <v>166</v>
      </c>
    </row>
    <row r="5">
      <c r="A5" s="35" t="s">
        <v>17</v>
      </c>
      <c r="B5" s="35" t="s">
        <v>250</v>
      </c>
      <c r="C5" s="35" t="s">
        <v>251</v>
      </c>
      <c r="D5" s="35" t="s">
        <v>252</v>
      </c>
      <c r="E5" s="35" t="s">
        <v>253</v>
      </c>
      <c r="F5" s="35" t="s">
        <v>234</v>
      </c>
      <c r="G5" s="35" t="s">
        <v>254</v>
      </c>
      <c r="H5" s="35" t="s">
        <v>243</v>
      </c>
      <c r="I5" s="35" t="s">
        <v>255</v>
      </c>
      <c r="J5" s="35" t="s">
        <v>238</v>
      </c>
      <c r="K5" s="35" t="s">
        <v>166</v>
      </c>
    </row>
    <row r="6">
      <c r="A6" s="36" t="s">
        <v>117</v>
      </c>
      <c r="B6" s="36" t="s">
        <v>36</v>
      </c>
      <c r="C6" s="36" t="s">
        <v>256</v>
      </c>
      <c r="D6" s="36" t="s">
        <v>257</v>
      </c>
      <c r="E6" s="36" t="s">
        <v>258</v>
      </c>
      <c r="F6" s="36" t="s">
        <v>259</v>
      </c>
      <c r="G6" s="36" t="s">
        <v>260</v>
      </c>
      <c r="H6" s="36" t="s">
        <v>236</v>
      </c>
      <c r="I6" s="36" t="s">
        <v>237</v>
      </c>
      <c r="J6" s="36" t="s">
        <v>238</v>
      </c>
      <c r="K6" s="36" t="s">
        <v>166</v>
      </c>
    </row>
    <row r="7">
      <c r="A7" s="36" t="s">
        <v>117</v>
      </c>
      <c r="B7" s="36" t="s">
        <v>34</v>
      </c>
      <c r="C7" s="36" t="s">
        <v>261</v>
      </c>
      <c r="D7" s="36" t="s">
        <v>262</v>
      </c>
      <c r="E7" s="36" t="s">
        <v>263</v>
      </c>
      <c r="F7" s="36" t="s">
        <v>259</v>
      </c>
      <c r="G7" s="36" t="s">
        <v>264</v>
      </c>
      <c r="H7" s="36" t="s">
        <v>243</v>
      </c>
      <c r="I7" s="36" t="s">
        <v>265</v>
      </c>
      <c r="J7" s="36" t="s">
        <v>238</v>
      </c>
      <c r="K7" s="36" t="s">
        <v>166</v>
      </c>
    </row>
    <row r="8">
      <c r="A8" s="36" t="s">
        <v>117</v>
      </c>
      <c r="B8" s="36" t="s">
        <v>35</v>
      </c>
      <c r="C8" s="36" t="s">
        <v>266</v>
      </c>
      <c r="D8" s="36" t="s">
        <v>267</v>
      </c>
      <c r="E8" s="36" t="s">
        <v>268</v>
      </c>
      <c r="F8" s="36" t="s">
        <v>259</v>
      </c>
      <c r="G8" s="36" t="s">
        <v>269</v>
      </c>
      <c r="H8" s="36" t="s">
        <v>243</v>
      </c>
      <c r="I8" s="36" t="s">
        <v>270</v>
      </c>
      <c r="J8" s="36" t="s">
        <v>238</v>
      </c>
      <c r="K8" s="36" t="s">
        <v>166</v>
      </c>
    </row>
    <row r="9">
      <c r="A9" s="36" t="s">
        <v>117</v>
      </c>
      <c r="B9" s="36" t="s">
        <v>250</v>
      </c>
      <c r="C9" s="36" t="s">
        <v>271</v>
      </c>
      <c r="D9" s="36" t="s">
        <v>272</v>
      </c>
      <c r="E9" s="36" t="s">
        <v>273</v>
      </c>
      <c r="F9" s="36" t="s">
        <v>259</v>
      </c>
      <c r="G9" s="36" t="s">
        <v>274</v>
      </c>
      <c r="H9" s="36" t="s">
        <v>243</v>
      </c>
      <c r="I9" s="36" t="s">
        <v>275</v>
      </c>
      <c r="J9" s="36" t="s">
        <v>238</v>
      </c>
      <c r="K9" s="36" t="s">
        <v>166</v>
      </c>
    </row>
    <row r="10">
      <c r="A10" s="36" t="s">
        <v>118</v>
      </c>
      <c r="B10" s="36" t="s">
        <v>36</v>
      </c>
      <c r="C10" s="36" t="s">
        <v>276</v>
      </c>
      <c r="D10" s="36" t="s">
        <v>277</v>
      </c>
      <c r="E10" s="36" t="s">
        <v>278</v>
      </c>
      <c r="F10" s="36" t="s">
        <v>279</v>
      </c>
      <c r="G10" s="36" t="s">
        <v>280</v>
      </c>
      <c r="H10" s="36" t="s">
        <v>236</v>
      </c>
      <c r="I10" s="36" t="s">
        <v>281</v>
      </c>
      <c r="J10" s="36" t="s">
        <v>238</v>
      </c>
      <c r="K10" s="36" t="s">
        <v>166</v>
      </c>
    </row>
    <row r="11">
      <c r="A11" s="36" t="s">
        <v>118</v>
      </c>
      <c r="B11" s="36" t="s">
        <v>34</v>
      </c>
      <c r="C11" s="36" t="s">
        <v>282</v>
      </c>
      <c r="D11" s="36" t="s">
        <v>283</v>
      </c>
      <c r="E11" s="36" t="s">
        <v>284</v>
      </c>
      <c r="F11" s="36" t="s">
        <v>279</v>
      </c>
      <c r="G11" s="36" t="s">
        <v>285</v>
      </c>
      <c r="H11" s="36" t="s">
        <v>236</v>
      </c>
      <c r="I11" s="36" t="s">
        <v>286</v>
      </c>
      <c r="J11" s="36" t="s">
        <v>238</v>
      </c>
      <c r="K11" s="36" t="s">
        <v>166</v>
      </c>
    </row>
    <row r="12">
      <c r="A12" s="36" t="s">
        <v>118</v>
      </c>
      <c r="B12" s="36" t="s">
        <v>35</v>
      </c>
      <c r="C12" s="36" t="s">
        <v>287</v>
      </c>
      <c r="D12" s="36" t="s">
        <v>288</v>
      </c>
      <c r="E12" s="36" t="s">
        <v>289</v>
      </c>
      <c r="F12" s="36" t="s">
        <v>279</v>
      </c>
      <c r="G12" s="36" t="s">
        <v>290</v>
      </c>
      <c r="H12" s="36" t="s">
        <v>236</v>
      </c>
      <c r="I12" s="36" t="s">
        <v>291</v>
      </c>
      <c r="J12" s="36" t="s">
        <v>238</v>
      </c>
      <c r="K12" s="36" t="s">
        <v>166</v>
      </c>
    </row>
    <row r="13">
      <c r="A13" s="36" t="s">
        <v>118</v>
      </c>
      <c r="B13" s="36" t="s">
        <v>250</v>
      </c>
      <c r="C13" s="36" t="s">
        <v>292</v>
      </c>
      <c r="D13" s="36" t="s">
        <v>293</v>
      </c>
      <c r="E13" s="36" t="s">
        <v>294</v>
      </c>
      <c r="F13" s="36" t="s">
        <v>279</v>
      </c>
      <c r="G13" s="36" t="s">
        <v>295</v>
      </c>
      <c r="H13" s="36" t="s">
        <v>236</v>
      </c>
      <c r="I13" s="36" t="s">
        <v>296</v>
      </c>
      <c r="J13" s="36" t="s">
        <v>238</v>
      </c>
      <c r="K13" s="36" t="s">
        <v>166</v>
      </c>
    </row>
    <row r="14">
      <c r="A14" s="36" t="s">
        <v>119</v>
      </c>
      <c r="B14" s="36" t="s">
        <v>36</v>
      </c>
      <c r="C14" s="36" t="s">
        <v>297</v>
      </c>
      <c r="D14" s="36" t="s">
        <v>298</v>
      </c>
      <c r="E14" s="36" t="s">
        <v>299</v>
      </c>
      <c r="F14" s="36" t="s">
        <v>300</v>
      </c>
      <c r="G14" s="36" t="s">
        <v>280</v>
      </c>
      <c r="H14" s="36" t="s">
        <v>236</v>
      </c>
      <c r="I14" s="36" t="s">
        <v>281</v>
      </c>
      <c r="J14" s="36" t="s">
        <v>238</v>
      </c>
      <c r="K14" s="36" t="s">
        <v>166</v>
      </c>
    </row>
    <row r="15">
      <c r="A15" s="36" t="s">
        <v>119</v>
      </c>
      <c r="B15" s="36" t="s">
        <v>34</v>
      </c>
      <c r="C15" s="36" t="s">
        <v>301</v>
      </c>
      <c r="D15" s="36" t="s">
        <v>302</v>
      </c>
      <c r="E15" s="36" t="s">
        <v>303</v>
      </c>
      <c r="F15" s="36" t="s">
        <v>300</v>
      </c>
      <c r="G15" s="36" t="s">
        <v>304</v>
      </c>
      <c r="H15" s="36" t="s">
        <v>236</v>
      </c>
      <c r="I15" s="36" t="s">
        <v>305</v>
      </c>
      <c r="J15" s="36" t="s">
        <v>238</v>
      </c>
      <c r="K15" s="36" t="s">
        <v>166</v>
      </c>
    </row>
    <row r="16">
      <c r="A16" s="36" t="s">
        <v>119</v>
      </c>
      <c r="B16" s="36" t="s">
        <v>35</v>
      </c>
      <c r="C16" s="36" t="s">
        <v>306</v>
      </c>
      <c r="D16" s="36" t="s">
        <v>307</v>
      </c>
      <c r="E16" s="36" t="s">
        <v>308</v>
      </c>
      <c r="F16" s="36" t="s">
        <v>300</v>
      </c>
      <c r="G16" s="36" t="s">
        <v>309</v>
      </c>
      <c r="H16" s="36" t="s">
        <v>236</v>
      </c>
      <c r="I16" s="36" t="s">
        <v>310</v>
      </c>
      <c r="J16" s="36" t="s">
        <v>238</v>
      </c>
      <c r="K16" s="36" t="s">
        <v>166</v>
      </c>
    </row>
    <row r="17">
      <c r="A17" s="36" t="s">
        <v>119</v>
      </c>
      <c r="B17" s="36" t="s">
        <v>250</v>
      </c>
      <c r="C17" s="36" t="s">
        <v>311</v>
      </c>
      <c r="D17" s="36" t="s">
        <v>312</v>
      </c>
      <c r="E17" s="36" t="s">
        <v>313</v>
      </c>
      <c r="F17" s="36" t="s">
        <v>300</v>
      </c>
      <c r="G17" s="36" t="s">
        <v>314</v>
      </c>
      <c r="H17" s="36" t="s">
        <v>236</v>
      </c>
      <c r="I17" s="36" t="s">
        <v>315</v>
      </c>
      <c r="J17" s="36" t="s">
        <v>238</v>
      </c>
      <c r="K17" s="36" t="s">
        <v>166</v>
      </c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0"/>
    <col customWidth="1" min="7" max="7" width="42.0"/>
    <col customWidth="1" min="8" max="9" width="20.0"/>
  </cols>
  <sheetData>
    <row r="1">
      <c r="A1" s="40" t="s">
        <v>91</v>
      </c>
      <c r="B1" s="40" t="s">
        <v>82</v>
      </c>
      <c r="C1" s="40" t="s">
        <v>83</v>
      </c>
      <c r="D1" s="40" t="s">
        <v>84</v>
      </c>
      <c r="E1" s="40" t="s">
        <v>85</v>
      </c>
      <c r="F1" s="40" t="s">
        <v>86</v>
      </c>
      <c r="G1" s="40" t="s">
        <v>87</v>
      </c>
      <c r="H1" s="40" t="s">
        <v>88</v>
      </c>
      <c r="I1" s="40" t="s">
        <v>316</v>
      </c>
    </row>
    <row r="2">
      <c r="A2" s="32" t="s">
        <v>17</v>
      </c>
      <c r="B2" s="32" t="s">
        <v>133</v>
      </c>
      <c r="C2" s="32" t="s">
        <v>317</v>
      </c>
      <c r="D2" s="32" t="s">
        <v>318</v>
      </c>
      <c r="E2" s="32" t="s">
        <v>319</v>
      </c>
      <c r="F2" s="32">
        <v>-1.0</v>
      </c>
      <c r="G2" s="32" t="s">
        <v>320</v>
      </c>
      <c r="H2" s="32" t="s">
        <v>133</v>
      </c>
      <c r="I2" s="32" t="s">
        <v>89</v>
      </c>
    </row>
    <row r="3">
      <c r="A3" s="32" t="s">
        <v>117</v>
      </c>
      <c r="B3" s="32" t="s">
        <v>133</v>
      </c>
      <c r="C3" s="32" t="s">
        <v>133</v>
      </c>
      <c r="D3" s="32" t="s">
        <v>321</v>
      </c>
      <c r="E3" s="32" t="s">
        <v>319</v>
      </c>
      <c r="F3" s="32">
        <v>0.0</v>
      </c>
      <c r="G3" s="32" t="s">
        <v>322</v>
      </c>
      <c r="H3" s="32" t="s">
        <v>133</v>
      </c>
      <c r="I3" s="32" t="s">
        <v>89</v>
      </c>
    </row>
    <row r="4">
      <c r="A4" s="32" t="s">
        <v>118</v>
      </c>
      <c r="B4" s="32" t="s">
        <v>133</v>
      </c>
      <c r="C4" s="32" t="s">
        <v>133</v>
      </c>
      <c r="D4" s="32" t="s">
        <v>321</v>
      </c>
      <c r="E4" s="32" t="s">
        <v>319</v>
      </c>
      <c r="F4" s="32">
        <v>0.0</v>
      </c>
      <c r="G4" s="32" t="s">
        <v>323</v>
      </c>
      <c r="H4" s="32" t="s">
        <v>133</v>
      </c>
      <c r="I4" s="32" t="s">
        <v>89</v>
      </c>
    </row>
    <row r="5">
      <c r="A5" s="32" t="s">
        <v>119</v>
      </c>
      <c r="B5" s="32" t="s">
        <v>133</v>
      </c>
      <c r="C5" s="32" t="s">
        <v>133</v>
      </c>
      <c r="D5" s="32" t="s">
        <v>321</v>
      </c>
      <c r="E5" s="32" t="s">
        <v>319</v>
      </c>
      <c r="F5" s="32">
        <v>0.0</v>
      </c>
      <c r="G5" s="32" t="s">
        <v>323</v>
      </c>
      <c r="H5" s="32" t="s">
        <v>133</v>
      </c>
      <c r="I5" s="32" t="s">
        <v>89</v>
      </c>
    </row>
    <row r="6">
      <c r="A6" s="32" t="s">
        <v>120</v>
      </c>
      <c r="B6" s="32" t="s">
        <v>133</v>
      </c>
      <c r="C6" s="32" t="s">
        <v>133</v>
      </c>
      <c r="D6" s="32" t="s">
        <v>321</v>
      </c>
      <c r="E6" s="32" t="s">
        <v>319</v>
      </c>
      <c r="F6" s="32">
        <v>0.0</v>
      </c>
      <c r="G6" s="32" t="s">
        <v>324</v>
      </c>
      <c r="H6" s="32" t="s">
        <v>133</v>
      </c>
      <c r="I6" s="32" t="s">
        <v>89</v>
      </c>
    </row>
    <row r="7">
      <c r="D7" s="32"/>
    </row>
    <row r="8">
      <c r="D8" s="32"/>
    </row>
    <row r="9">
      <c r="D9" s="32"/>
    </row>
    <row r="10">
      <c r="D10" s="32"/>
    </row>
    <row r="11">
      <c r="D11" s="32"/>
    </row>
    <row r="12">
      <c r="D12" s="32"/>
    </row>
    <row r="13">
      <c r="D13" s="32"/>
    </row>
    <row r="14">
      <c r="D14" s="32"/>
    </row>
    <row r="15">
      <c r="D15" s="32"/>
    </row>
    <row r="16">
      <c r="D16" s="32"/>
    </row>
    <row r="17">
      <c r="D17" s="32"/>
    </row>
    <row r="18">
      <c r="D18" s="32"/>
    </row>
    <row r="19">
      <c r="D19" s="32"/>
    </row>
    <row r="20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1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8.0"/>
  </cols>
  <sheetData>
    <row r="1">
      <c r="A1" s="40" t="s">
        <v>98</v>
      </c>
      <c r="B1" s="40" t="s">
        <v>91</v>
      </c>
      <c r="C1" s="40" t="s">
        <v>4</v>
      </c>
      <c r="D1" s="40" t="s">
        <v>325</v>
      </c>
      <c r="E1" s="40" t="s">
        <v>326</v>
      </c>
      <c r="F1" s="40" t="s">
        <v>327</v>
      </c>
      <c r="G1" s="40" t="s">
        <v>328</v>
      </c>
      <c r="H1" s="40" t="s">
        <v>329</v>
      </c>
      <c r="I1" s="40" t="s">
        <v>37</v>
      </c>
      <c r="J1" s="40" t="s">
        <v>9</v>
      </c>
    </row>
    <row r="2">
      <c r="A2" s="32">
        <v>46180.219770393516</v>
      </c>
      <c r="B2" s="32" t="s">
        <v>17</v>
      </c>
      <c r="C2" s="32" t="s">
        <v>330</v>
      </c>
      <c r="D2" s="32" t="s">
        <v>23</v>
      </c>
      <c r="H2" s="32" t="s">
        <v>35</v>
      </c>
      <c r="I2" s="32" t="s">
        <v>35</v>
      </c>
      <c r="J2" s="32" t="s">
        <v>331</v>
      </c>
    </row>
    <row r="3">
      <c r="A3" s="32">
        <v>46180.219770393516</v>
      </c>
      <c r="B3" s="32" t="s">
        <v>17</v>
      </c>
      <c r="C3" s="32" t="s">
        <v>330</v>
      </c>
      <c r="D3" s="32" t="s">
        <v>29</v>
      </c>
      <c r="H3" s="32" t="s">
        <v>35</v>
      </c>
      <c r="I3" s="32" t="s">
        <v>35</v>
      </c>
      <c r="J3" s="32" t="s">
        <v>332</v>
      </c>
    </row>
    <row r="4">
      <c r="A4" s="32">
        <v>46180.219770393516</v>
      </c>
      <c r="B4" s="32" t="s">
        <v>17</v>
      </c>
      <c r="C4" s="32" t="s">
        <v>333</v>
      </c>
      <c r="D4" s="32" t="s">
        <v>18</v>
      </c>
      <c r="H4" s="32" t="s">
        <v>35</v>
      </c>
      <c r="I4" s="32" t="s">
        <v>35</v>
      </c>
      <c r="J4" s="32" t="s">
        <v>334</v>
      </c>
    </row>
    <row r="5">
      <c r="A5" s="32">
        <v>46180.219770393516</v>
      </c>
      <c r="B5" s="32" t="s">
        <v>17</v>
      </c>
      <c r="C5" s="32" t="s">
        <v>335</v>
      </c>
      <c r="D5" s="32" t="s">
        <v>336</v>
      </c>
      <c r="H5" s="32" t="s">
        <v>35</v>
      </c>
      <c r="I5" s="32" t="s">
        <v>35</v>
      </c>
      <c r="J5" s="32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2.0"/>
    <col customWidth="1" min="6" max="6" width="8.75"/>
  </cols>
  <sheetData>
    <row r="1">
      <c r="A1" s="40" t="s">
        <v>337</v>
      </c>
      <c r="B1" s="40" t="s">
        <v>58</v>
      </c>
      <c r="C1" s="40" t="s">
        <v>84</v>
      </c>
      <c r="D1" s="40" t="s">
        <v>338</v>
      </c>
      <c r="E1" s="40" t="s">
        <v>339</v>
      </c>
    </row>
    <row r="2">
      <c r="A2" s="32" t="s">
        <v>34</v>
      </c>
      <c r="B2" s="32" t="s">
        <v>340</v>
      </c>
      <c r="C2" s="32" t="s">
        <v>341</v>
      </c>
      <c r="D2" s="32" t="s">
        <v>163</v>
      </c>
      <c r="E2" s="32" t="s">
        <v>17</v>
      </c>
    </row>
    <row r="3">
      <c r="A3" s="32" t="s">
        <v>36</v>
      </c>
      <c r="B3" s="32" t="s">
        <v>342</v>
      </c>
      <c r="C3" s="32" t="s">
        <v>318</v>
      </c>
      <c r="D3" s="32" t="s">
        <v>173</v>
      </c>
      <c r="E3" s="32" t="s">
        <v>117</v>
      </c>
    </row>
    <row r="4">
      <c r="A4" s="32" t="s">
        <v>35</v>
      </c>
      <c r="B4" s="32" t="s">
        <v>343</v>
      </c>
      <c r="C4" s="32" t="s">
        <v>321</v>
      </c>
      <c r="D4" s="32" t="s">
        <v>168</v>
      </c>
      <c r="E4" s="32" t="s">
        <v>118</v>
      </c>
    </row>
    <row r="5">
      <c r="B5" s="32" t="s">
        <v>344</v>
      </c>
      <c r="C5" s="32" t="s">
        <v>345</v>
      </c>
      <c r="D5" s="32" t="s">
        <v>346</v>
      </c>
      <c r="E5" s="32" t="s">
        <v>119</v>
      </c>
    </row>
    <row r="6">
      <c r="B6" s="32" t="s">
        <v>347</v>
      </c>
      <c r="C6" s="32" t="s">
        <v>348</v>
      </c>
      <c r="E6" s="32" t="s">
        <v>120</v>
      </c>
    </row>
    <row r="7">
      <c r="C7" s="32" t="s">
        <v>349</v>
      </c>
    </row>
    <row r="8">
      <c r="C8" s="32" t="s">
        <v>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4" width="42.0"/>
    <col customWidth="1" min="5" max="5" width="24.0"/>
    <col customWidth="1" min="6" max="6" width="8.75"/>
  </cols>
  <sheetData>
    <row r="1">
      <c r="A1" s="1" t="s">
        <v>351</v>
      </c>
    </row>
    <row r="3">
      <c r="A3" s="40" t="s">
        <v>352</v>
      </c>
      <c r="B3" s="40"/>
      <c r="C3" s="40"/>
      <c r="D3" s="40" t="s">
        <v>9</v>
      </c>
      <c r="E3" s="40" t="s">
        <v>353</v>
      </c>
    </row>
    <row r="4">
      <c r="A4" s="32" t="s">
        <v>354</v>
      </c>
      <c r="B4" s="32"/>
      <c r="C4" s="32"/>
      <c r="D4" s="32" t="s">
        <v>355</v>
      </c>
      <c r="E4" s="32" t="s">
        <v>356</v>
      </c>
    </row>
    <row r="5">
      <c r="A5" s="32" t="s">
        <v>357</v>
      </c>
      <c r="B5" s="32"/>
      <c r="C5" s="32"/>
      <c r="D5" s="32" t="s">
        <v>358</v>
      </c>
      <c r="E5" s="32" t="s">
        <v>359</v>
      </c>
    </row>
    <row r="6">
      <c r="A6" s="32" t="s">
        <v>360</v>
      </c>
      <c r="B6" s="32"/>
      <c r="C6" s="32"/>
      <c r="D6" s="32" t="s">
        <v>361</v>
      </c>
      <c r="E6" s="32" t="s">
        <v>362</v>
      </c>
    </row>
    <row r="7">
      <c r="A7" s="32" t="s">
        <v>363</v>
      </c>
      <c r="B7" s="32"/>
      <c r="C7" s="32"/>
      <c r="D7" s="32" t="s">
        <v>364</v>
      </c>
      <c r="E7" s="32" t="s">
        <v>365</v>
      </c>
    </row>
    <row r="8">
      <c r="A8" s="32" t="s">
        <v>366</v>
      </c>
      <c r="B8" s="32"/>
      <c r="C8" s="32"/>
      <c r="D8" s="32" t="s">
        <v>367</v>
      </c>
      <c r="E8" s="32" t="s">
        <v>368</v>
      </c>
    </row>
    <row r="9">
      <c r="A9" s="32"/>
      <c r="B9" s="32"/>
      <c r="C9" s="32"/>
      <c r="D9" s="32" t="s">
        <v>369</v>
      </c>
      <c r="E9" s="32" t="s">
        <v>370</v>
      </c>
    </row>
    <row r="10">
      <c r="A10" s="32" t="s">
        <v>371</v>
      </c>
      <c r="B10" s="32"/>
      <c r="C10" s="32"/>
      <c r="D10" s="32" t="s">
        <v>372</v>
      </c>
      <c r="E10" s="32" t="s">
        <v>373</v>
      </c>
    </row>
    <row r="11">
      <c r="A11" s="41" t="s">
        <v>374</v>
      </c>
    </row>
    <row r="12">
      <c r="A12" s="32" t="s">
        <v>375</v>
      </c>
      <c r="B12" s="32"/>
      <c r="C12" s="32"/>
      <c r="D12" s="32" t="s">
        <v>376</v>
      </c>
      <c r="E12" s="32" t="s">
        <v>377</v>
      </c>
    </row>
    <row r="13">
      <c r="A13" s="41" t="s">
        <v>378</v>
      </c>
    </row>
    <row r="14">
      <c r="A14" s="32" t="s">
        <v>379</v>
      </c>
      <c r="B14" s="32"/>
      <c r="C14" s="32"/>
      <c r="D14" s="32" t="s">
        <v>380</v>
      </c>
      <c r="E14" s="32" t="s">
        <v>381</v>
      </c>
    </row>
    <row r="15">
      <c r="A15" s="41" t="s">
        <v>382</v>
      </c>
    </row>
    <row r="16">
      <c r="A16" s="15"/>
    </row>
    <row r="17">
      <c r="A17" s="9" t="s">
        <v>383</v>
      </c>
      <c r="B17" s="9"/>
      <c r="C17" s="9"/>
      <c r="D17" s="9"/>
      <c r="E17" s="9"/>
    </row>
    <row r="18">
      <c r="A18" s="9" t="s">
        <v>384</v>
      </c>
      <c r="B18" s="9"/>
      <c r="C18" s="9"/>
      <c r="D18" s="9"/>
      <c r="E18" s="9"/>
    </row>
    <row r="19">
      <c r="A19" s="9" t="s">
        <v>385</v>
      </c>
      <c r="B19" s="9"/>
      <c r="C19" s="9"/>
      <c r="D19" s="9"/>
      <c r="E19" s="9"/>
    </row>
    <row r="20">
      <c r="A20" s="9" t="s">
        <v>386</v>
      </c>
      <c r="B20" s="9"/>
      <c r="C20" s="9"/>
      <c r="D20" s="9"/>
      <c r="E20" s="9"/>
    </row>
    <row r="21" ht="15.75" customHeight="1">
      <c r="A21" s="9" t="s">
        <v>387</v>
      </c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42" t="s">
        <v>388</v>
      </c>
      <c r="B23" s="42"/>
      <c r="C23" s="42"/>
      <c r="D23" s="42"/>
      <c r="E23" s="42"/>
    </row>
    <row r="24" ht="15.75" customHeight="1">
      <c r="A24" s="36" t="s">
        <v>389</v>
      </c>
      <c r="B24" s="36" t="s">
        <v>390</v>
      </c>
      <c r="C24" s="36"/>
      <c r="D24" s="36"/>
      <c r="E24" s="36"/>
    </row>
    <row r="25" ht="15.75" customHeight="1">
      <c r="A25" s="36" t="s">
        <v>391</v>
      </c>
      <c r="B25" s="36" t="s">
        <v>392</v>
      </c>
      <c r="C25" s="36"/>
      <c r="D25" s="36"/>
      <c r="E25" s="36"/>
    </row>
    <row r="26" ht="15.75" customHeight="1">
      <c r="A26" s="36" t="s">
        <v>393</v>
      </c>
      <c r="B26" s="36" t="s">
        <v>394</v>
      </c>
      <c r="C26" s="36"/>
      <c r="D26" s="36"/>
      <c r="E26" s="36"/>
    </row>
    <row r="27" ht="15.75" customHeight="1">
      <c r="A27" s="36" t="s">
        <v>395</v>
      </c>
      <c r="B27" s="36" t="s">
        <v>396</v>
      </c>
      <c r="C27" s="36"/>
      <c r="D27" s="36"/>
      <c r="E27" s="36"/>
    </row>
    <row r="28" ht="15.75" customHeight="1">
      <c r="A28" s="36" t="s">
        <v>397</v>
      </c>
      <c r="B28" s="36" t="s">
        <v>398</v>
      </c>
      <c r="C28" s="36"/>
      <c r="D28" s="36"/>
      <c r="E28" s="36"/>
    </row>
    <row r="29" ht="15.75" customHeight="1">
      <c r="A29" s="36" t="s">
        <v>399</v>
      </c>
      <c r="B29" s="36" t="s">
        <v>400</v>
      </c>
      <c r="C29" s="36"/>
      <c r="D29" s="36"/>
      <c r="E29" s="36"/>
    </row>
    <row r="30" ht="15.75" customHeight="1">
      <c r="A30" s="36" t="s">
        <v>401</v>
      </c>
      <c r="B30" s="36" t="s">
        <v>402</v>
      </c>
      <c r="C30" s="36"/>
      <c r="D30" s="36"/>
      <c r="E30" s="36"/>
    </row>
    <row r="31" ht="15.75" customHeight="1">
      <c r="A31" s="36" t="s">
        <v>403</v>
      </c>
      <c r="B31" s="36" t="s">
        <v>404</v>
      </c>
      <c r="C31" s="36"/>
      <c r="D31" s="36"/>
      <c r="E31" s="36"/>
    </row>
    <row r="32" ht="15.75" customHeight="1">
      <c r="A32" s="36" t="s">
        <v>405</v>
      </c>
      <c r="B32" s="36" t="s">
        <v>406</v>
      </c>
      <c r="C32" s="36"/>
      <c r="D32" s="36"/>
      <c r="E32" s="36"/>
    </row>
    <row r="33" ht="15.75" customHeight="1">
      <c r="A33" s="36" t="s">
        <v>407</v>
      </c>
      <c r="B33" s="36" t="s">
        <v>408</v>
      </c>
      <c r="C33" s="36"/>
      <c r="D33" s="36"/>
      <c r="E33" s="36"/>
    </row>
    <row r="34" ht="15.75" customHeight="1">
      <c r="A34" s="36" t="s">
        <v>409</v>
      </c>
      <c r="B34" s="36" t="s">
        <v>410</v>
      </c>
      <c r="C34" s="36"/>
      <c r="D34" s="36"/>
      <c r="E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6:E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3.63"/>
    <col customWidth="1" min="3" max="3" width="25.25"/>
    <col customWidth="1" min="4" max="4" width="8.13"/>
    <col customWidth="1" min="5" max="5" width="9.88"/>
    <col customWidth="1" min="6" max="6" width="9.75"/>
    <col customWidth="1" min="7" max="7" width="20.0"/>
    <col customWidth="1" min="8" max="8" width="39.75"/>
    <col customWidth="1" min="9" max="9" width="11.38"/>
    <col customWidth="1" min="10" max="10" width="47.75"/>
    <col customWidth="1" min="11" max="26" width="8.75"/>
  </cols>
  <sheetData>
    <row r="1">
      <c r="A1" s="43" t="s">
        <v>91</v>
      </c>
      <c r="B1" s="43" t="s">
        <v>32</v>
      </c>
      <c r="C1" s="43" t="s">
        <v>4</v>
      </c>
      <c r="D1" s="43" t="s">
        <v>5</v>
      </c>
      <c r="E1" s="43" t="s">
        <v>6</v>
      </c>
      <c r="F1" s="43" t="s">
        <v>7</v>
      </c>
      <c r="G1" s="43" t="s">
        <v>411</v>
      </c>
      <c r="H1" s="43" t="s">
        <v>412</v>
      </c>
      <c r="I1" s="43" t="s">
        <v>413</v>
      </c>
      <c r="J1" s="43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17</v>
      </c>
      <c r="B2" s="9" t="s">
        <v>38</v>
      </c>
      <c r="C2" s="9" t="s">
        <v>414</v>
      </c>
      <c r="D2" s="9" t="s">
        <v>35</v>
      </c>
      <c r="E2" s="9" t="s">
        <v>133</v>
      </c>
      <c r="F2" s="9" t="s">
        <v>133</v>
      </c>
      <c r="G2" s="9" t="s">
        <v>133</v>
      </c>
      <c r="H2" s="9" t="s">
        <v>415</v>
      </c>
      <c r="I2" s="9" t="s">
        <v>416</v>
      </c>
      <c r="J2" s="9" t="s">
        <v>417</v>
      </c>
    </row>
    <row r="3">
      <c r="A3" s="9" t="s">
        <v>17</v>
      </c>
      <c r="B3" s="9" t="s">
        <v>18</v>
      </c>
      <c r="C3" s="9" t="s">
        <v>19</v>
      </c>
      <c r="D3" s="9" t="s">
        <v>35</v>
      </c>
      <c r="E3" s="9">
        <v>2.11</v>
      </c>
      <c r="F3" s="12">
        <v>46180.55323101852</v>
      </c>
      <c r="G3" s="9" t="s">
        <v>20</v>
      </c>
      <c r="H3" s="9" t="s">
        <v>418</v>
      </c>
      <c r="I3" s="9" t="s">
        <v>419</v>
      </c>
      <c r="J3" s="9" t="s">
        <v>420</v>
      </c>
    </row>
    <row r="4">
      <c r="A4" s="9" t="s">
        <v>17</v>
      </c>
      <c r="B4" s="9" t="s">
        <v>23</v>
      </c>
      <c r="C4" s="9" t="s">
        <v>24</v>
      </c>
      <c r="D4" s="9" t="s">
        <v>34</v>
      </c>
      <c r="E4" s="9">
        <v>23926.0</v>
      </c>
      <c r="F4" s="12">
        <v>46175.0</v>
      </c>
      <c r="G4" s="9" t="s">
        <v>25</v>
      </c>
      <c r="H4" s="9" t="s">
        <v>421</v>
      </c>
      <c r="I4" s="9" t="s">
        <v>422</v>
      </c>
      <c r="J4" s="9" t="s">
        <v>423</v>
      </c>
    </row>
    <row r="5">
      <c r="A5" s="9" t="s">
        <v>17</v>
      </c>
      <c r="B5" s="9" t="s">
        <v>29</v>
      </c>
      <c r="C5" s="9" t="s">
        <v>424</v>
      </c>
      <c r="D5" s="9" t="s">
        <v>34</v>
      </c>
      <c r="E5" s="9">
        <v>102809.0</v>
      </c>
      <c r="F5" s="12">
        <v>46175.0</v>
      </c>
      <c r="G5" s="9" t="s">
        <v>25</v>
      </c>
      <c r="H5" s="9" t="s">
        <v>425</v>
      </c>
      <c r="I5" s="9" t="s">
        <v>422</v>
      </c>
      <c r="J5" s="9" t="s">
        <v>426</v>
      </c>
    </row>
    <row r="6">
      <c r="A6" s="9" t="s">
        <v>117</v>
      </c>
      <c r="B6" s="9" t="s">
        <v>38</v>
      </c>
      <c r="C6" s="9" t="s">
        <v>414</v>
      </c>
      <c r="D6" s="9" t="s">
        <v>36</v>
      </c>
      <c r="E6" s="9" t="s">
        <v>133</v>
      </c>
      <c r="F6" s="9" t="s">
        <v>133</v>
      </c>
      <c r="G6" s="9" t="s">
        <v>133</v>
      </c>
      <c r="H6" s="9" t="s">
        <v>427</v>
      </c>
      <c r="I6" s="9" t="s">
        <v>416</v>
      </c>
      <c r="J6" s="9" t="s">
        <v>417</v>
      </c>
    </row>
    <row r="7">
      <c r="A7" s="9" t="s">
        <v>117</v>
      </c>
      <c r="B7" s="9" t="s">
        <v>18</v>
      </c>
      <c r="C7" s="9" t="s">
        <v>19</v>
      </c>
      <c r="D7" s="9" t="s">
        <v>35</v>
      </c>
      <c r="E7" s="9">
        <v>2.11</v>
      </c>
      <c r="F7" s="12">
        <v>46180.553231157406</v>
      </c>
      <c r="G7" s="9" t="s">
        <v>20</v>
      </c>
      <c r="H7" s="9" t="s">
        <v>428</v>
      </c>
      <c r="I7" s="9" t="s">
        <v>419</v>
      </c>
      <c r="J7" s="9" t="s">
        <v>420</v>
      </c>
    </row>
    <row r="8">
      <c r="A8" s="9" t="s">
        <v>117</v>
      </c>
      <c r="B8" s="9" t="s">
        <v>23</v>
      </c>
      <c r="C8" s="9" t="s">
        <v>429</v>
      </c>
      <c r="D8" s="9" t="s">
        <v>36</v>
      </c>
      <c r="E8" s="9" t="s">
        <v>133</v>
      </c>
      <c r="F8" s="9" t="s">
        <v>133</v>
      </c>
      <c r="G8" s="9" t="s">
        <v>25</v>
      </c>
      <c r="H8" s="9" t="s">
        <v>430</v>
      </c>
      <c r="I8" s="9" t="s">
        <v>422</v>
      </c>
      <c r="J8" s="9" t="s">
        <v>431</v>
      </c>
    </row>
    <row r="9">
      <c r="A9" s="9" t="s">
        <v>117</v>
      </c>
      <c r="B9" s="9" t="s">
        <v>29</v>
      </c>
      <c r="C9" s="9" t="s">
        <v>424</v>
      </c>
      <c r="D9" s="9" t="s">
        <v>36</v>
      </c>
      <c r="E9" s="9" t="s">
        <v>133</v>
      </c>
      <c r="F9" s="9" t="s">
        <v>133</v>
      </c>
      <c r="G9" s="9" t="s">
        <v>25</v>
      </c>
      <c r="H9" s="9" t="s">
        <v>432</v>
      </c>
      <c r="I9" s="9" t="s">
        <v>422</v>
      </c>
      <c r="J9" s="9" t="s">
        <v>433</v>
      </c>
    </row>
    <row r="10">
      <c r="A10" s="9" t="s">
        <v>118</v>
      </c>
      <c r="B10" s="9" t="s">
        <v>38</v>
      </c>
      <c r="C10" s="9" t="s">
        <v>414</v>
      </c>
      <c r="D10" s="9" t="s">
        <v>36</v>
      </c>
      <c r="E10" s="9" t="s">
        <v>133</v>
      </c>
      <c r="F10" s="9" t="s">
        <v>133</v>
      </c>
      <c r="G10" s="9" t="s">
        <v>133</v>
      </c>
      <c r="H10" s="9" t="s">
        <v>434</v>
      </c>
      <c r="I10" s="9" t="s">
        <v>416</v>
      </c>
      <c r="J10" s="9" t="s">
        <v>435</v>
      </c>
    </row>
    <row r="11">
      <c r="A11" s="9" t="s">
        <v>119</v>
      </c>
      <c r="B11" s="9" t="s">
        <v>18</v>
      </c>
      <c r="C11" s="9" t="s">
        <v>19</v>
      </c>
      <c r="D11" s="9" t="s">
        <v>35</v>
      </c>
      <c r="E11" s="9">
        <v>2.11</v>
      </c>
      <c r="F11" s="12">
        <v>46180.55323127315</v>
      </c>
      <c r="G11" s="9" t="s">
        <v>20</v>
      </c>
      <c r="H11" s="9" t="s">
        <v>436</v>
      </c>
      <c r="I11" s="9" t="s">
        <v>419</v>
      </c>
      <c r="J11" s="9" t="s">
        <v>435</v>
      </c>
    </row>
    <row r="12">
      <c r="D12" s="32"/>
      <c r="G12" s="32"/>
    </row>
    <row r="13">
      <c r="D13" s="32"/>
      <c r="G13" s="32"/>
    </row>
    <row r="14">
      <c r="D14" s="32"/>
      <c r="G14" s="32"/>
    </row>
    <row r="15">
      <c r="D15" s="32"/>
      <c r="G15" s="32"/>
    </row>
    <row r="16">
      <c r="D16" s="32"/>
      <c r="G16" s="32"/>
    </row>
    <row r="17">
      <c r="D17" s="32"/>
      <c r="G17" s="32"/>
    </row>
    <row r="18">
      <c r="D18" s="32"/>
      <c r="G18" s="32"/>
    </row>
    <row r="19">
      <c r="D19" s="32"/>
      <c r="G19" s="32"/>
    </row>
    <row r="20">
      <c r="D20" s="32"/>
      <c r="G20" s="32"/>
    </row>
    <row r="21" ht="15.75" customHeight="1">
      <c r="D21" s="32"/>
      <c r="G21" s="32"/>
    </row>
    <row r="22" ht="15.75" customHeight="1">
      <c r="D22" s="32"/>
      <c r="G22" s="32"/>
    </row>
    <row r="23" ht="15.75" customHeight="1">
      <c r="D23" s="32"/>
      <c r="G23" s="32"/>
    </row>
    <row r="24" ht="15.75" customHeight="1">
      <c r="D24" s="32"/>
      <c r="G24" s="32"/>
    </row>
    <row r="25" ht="15.75" customHeight="1">
      <c r="D25" s="32"/>
      <c r="G25" s="32"/>
    </row>
    <row r="26" ht="15.75" customHeight="1">
      <c r="D26" s="32"/>
      <c r="G26" s="32"/>
    </row>
    <row r="27" ht="15.75" customHeight="1">
      <c r="D27" s="32"/>
      <c r="G27" s="32"/>
    </row>
    <row r="28" ht="15.75" customHeight="1">
      <c r="D28" s="32"/>
      <c r="G28" s="32"/>
    </row>
    <row r="29" ht="15.75" customHeight="1">
      <c r="D29" s="32"/>
      <c r="G29" s="32"/>
    </row>
    <row r="30" ht="15.75" customHeight="1">
      <c r="D30" s="32"/>
      <c r="G30" s="32"/>
    </row>
    <row r="31" ht="15.75" customHeight="1">
      <c r="D31" s="32"/>
      <c r="G31" s="32"/>
    </row>
    <row r="32" ht="15.75" customHeight="1">
      <c r="D32" s="32"/>
      <c r="G32" s="32"/>
    </row>
    <row r="33" ht="15.75" customHeight="1">
      <c r="D33" s="32"/>
      <c r="G33" s="32"/>
    </row>
    <row r="34" ht="15.75" customHeight="1">
      <c r="D34" s="32"/>
      <c r="G34" s="32"/>
    </row>
    <row r="35" ht="15.75" customHeight="1">
      <c r="D35" s="32"/>
      <c r="G35" s="32"/>
    </row>
    <row r="36" ht="15.75" customHeight="1">
      <c r="D36" s="32"/>
      <c r="G36" s="32"/>
    </row>
    <row r="37" ht="15.75" customHeight="1">
      <c r="D37" s="32"/>
      <c r="G37" s="32"/>
    </row>
    <row r="38" ht="15.75" customHeight="1">
      <c r="D38" s="32"/>
      <c r="G38" s="32"/>
    </row>
    <row r="39" ht="15.75" customHeight="1">
      <c r="D39" s="32"/>
      <c r="G39" s="32"/>
    </row>
    <row r="40" ht="15.75" customHeight="1">
      <c r="D40" s="32"/>
      <c r="G40" s="32"/>
    </row>
    <row r="41" ht="15.75" customHeight="1">
      <c r="D41" s="32"/>
      <c r="G41" s="32"/>
    </row>
    <row r="42" ht="15.75" customHeight="1">
      <c r="D42" s="32"/>
      <c r="G42" s="32"/>
    </row>
    <row r="43" ht="15.75" customHeight="1">
      <c r="D43" s="32"/>
      <c r="G43" s="32"/>
    </row>
    <row r="44" ht="15.75" customHeight="1">
      <c r="D44" s="32"/>
      <c r="G44" s="32"/>
    </row>
    <row r="45" ht="15.75" customHeight="1">
      <c r="D45" s="32"/>
      <c r="G45" s="32"/>
    </row>
    <row r="46" ht="15.75" customHeight="1">
      <c r="D46" s="32"/>
      <c r="G46" s="32"/>
    </row>
    <row r="47" ht="15.75" customHeight="1">
      <c r="D47" s="32"/>
      <c r="G47" s="32"/>
    </row>
    <row r="48" ht="15.75" customHeight="1">
      <c r="D48" s="32"/>
      <c r="G48" s="32"/>
    </row>
    <row r="49" ht="15.75" customHeight="1">
      <c r="D49" s="32"/>
      <c r="G49" s="32"/>
    </row>
    <row r="50" ht="15.75" customHeight="1">
      <c r="D50" s="32"/>
      <c r="G50" s="32"/>
    </row>
    <row r="51" ht="15.75" customHeight="1">
      <c r="D51" s="32"/>
      <c r="G51" s="32"/>
    </row>
    <row r="52" ht="15.75" customHeight="1">
      <c r="D52" s="32"/>
      <c r="G52" s="32"/>
    </row>
    <row r="53" ht="15.75" customHeight="1">
      <c r="D53" s="32"/>
      <c r="G53" s="32"/>
    </row>
    <row r="54" ht="15.75" customHeight="1">
      <c r="D54" s="32"/>
      <c r="G54" s="32"/>
    </row>
    <row r="55" ht="15.75" customHeight="1">
      <c r="D55" s="32"/>
      <c r="G55" s="32"/>
    </row>
    <row r="56" ht="15.75" customHeight="1">
      <c r="D56" s="32"/>
      <c r="G56" s="32"/>
    </row>
    <row r="57" ht="15.75" customHeight="1">
      <c r="D57" s="32"/>
      <c r="G57" s="32"/>
    </row>
    <row r="58" ht="15.75" customHeight="1">
      <c r="D58" s="32"/>
      <c r="G58" s="32"/>
    </row>
    <row r="59" ht="15.75" customHeight="1">
      <c r="D59" s="32"/>
      <c r="G59" s="32"/>
    </row>
    <row r="60" ht="15.75" customHeight="1">
      <c r="D60" s="32"/>
      <c r="G60" s="32"/>
    </row>
    <row r="61" ht="15.75" customHeight="1">
      <c r="D61" s="32"/>
      <c r="G61" s="32"/>
    </row>
    <row r="62" ht="15.75" customHeight="1">
      <c r="D62" s="32"/>
      <c r="G62" s="32"/>
    </row>
    <row r="63" ht="15.75" customHeight="1">
      <c r="D63" s="32"/>
      <c r="G63" s="32"/>
    </row>
    <row r="64" ht="15.75" customHeight="1">
      <c r="D64" s="32"/>
      <c r="G64" s="32"/>
    </row>
    <row r="65" ht="15.75" customHeight="1">
      <c r="D65" s="32"/>
      <c r="G65" s="32"/>
    </row>
    <row r="66" ht="15.75" customHeight="1">
      <c r="D66" s="32"/>
      <c r="G66" s="32"/>
    </row>
    <row r="67" ht="15.75" customHeight="1">
      <c r="D67" s="32"/>
      <c r="G67" s="32"/>
    </row>
    <row r="68" ht="15.75" customHeight="1">
      <c r="D68" s="32"/>
      <c r="G68" s="32"/>
    </row>
    <row r="69" ht="15.75" customHeight="1">
      <c r="D69" s="32"/>
      <c r="G69" s="32"/>
    </row>
    <row r="70" ht="15.75" customHeight="1">
      <c r="D70" s="32"/>
      <c r="G70" s="32"/>
    </row>
    <row r="71" ht="15.75" customHeight="1">
      <c r="D71" s="32"/>
      <c r="G71" s="32"/>
    </row>
    <row r="72" ht="15.75" customHeight="1">
      <c r="D72" s="32"/>
      <c r="G72" s="32"/>
    </row>
    <row r="73" ht="15.75" customHeight="1">
      <c r="D73" s="32"/>
      <c r="G73" s="32"/>
    </row>
    <row r="74" ht="15.75" customHeight="1">
      <c r="D74" s="32"/>
      <c r="G74" s="32"/>
    </row>
    <row r="75" ht="15.75" customHeight="1">
      <c r="D75" s="32"/>
      <c r="G75" s="32"/>
    </row>
    <row r="76" ht="15.75" customHeight="1">
      <c r="D76" s="32"/>
      <c r="G76" s="32"/>
    </row>
    <row r="77" ht="15.75" customHeight="1">
      <c r="D77" s="32"/>
      <c r="G77" s="32"/>
    </row>
    <row r="78" ht="15.75" customHeight="1">
      <c r="D78" s="32"/>
      <c r="G78" s="32"/>
    </row>
    <row r="79" ht="15.75" customHeight="1">
      <c r="D79" s="32"/>
      <c r="G79" s="32"/>
    </row>
    <row r="80" ht="15.75" customHeight="1">
      <c r="D80" s="32"/>
      <c r="G80" s="32"/>
    </row>
    <row r="81" ht="15.75" customHeight="1">
      <c r="D81" s="32"/>
      <c r="G81" s="32"/>
    </row>
    <row r="82" ht="15.75" customHeight="1">
      <c r="D82" s="32"/>
      <c r="G82" s="32"/>
    </row>
    <row r="83" ht="15.75" customHeight="1">
      <c r="D83" s="32"/>
      <c r="G83" s="32"/>
    </row>
    <row r="84" ht="15.75" customHeight="1">
      <c r="D84" s="32"/>
      <c r="G84" s="32"/>
    </row>
    <row r="85" ht="15.75" customHeight="1">
      <c r="D85" s="32"/>
      <c r="G85" s="32"/>
    </row>
    <row r="86" ht="15.75" customHeight="1">
      <c r="D86" s="32"/>
      <c r="G86" s="32"/>
    </row>
    <row r="87" ht="15.75" customHeight="1">
      <c r="D87" s="32"/>
      <c r="G87" s="32"/>
    </row>
    <row r="88" ht="15.75" customHeight="1">
      <c r="D88" s="32"/>
      <c r="G88" s="32"/>
    </row>
    <row r="89" ht="15.75" customHeight="1">
      <c r="D89" s="32"/>
      <c r="G89" s="32"/>
    </row>
    <row r="90" ht="15.75" customHeight="1">
      <c r="D90" s="32"/>
      <c r="G90" s="32"/>
    </row>
    <row r="91" ht="15.75" customHeight="1">
      <c r="D91" s="32"/>
      <c r="G91" s="32"/>
    </row>
    <row r="92" ht="15.75" customHeight="1">
      <c r="D92" s="32"/>
      <c r="G92" s="32"/>
    </row>
    <row r="93" ht="15.75" customHeight="1">
      <c r="D93" s="32"/>
      <c r="G93" s="32"/>
    </row>
    <row r="94" ht="15.75" customHeight="1">
      <c r="D94" s="32"/>
      <c r="G94" s="32"/>
    </row>
    <row r="95" ht="15.75" customHeight="1">
      <c r="D95" s="32"/>
      <c r="G95" s="32"/>
    </row>
    <row r="96" ht="15.75" customHeight="1">
      <c r="D96" s="32"/>
      <c r="G96" s="32"/>
    </row>
    <row r="97" ht="15.75" customHeight="1">
      <c r="D97" s="32"/>
      <c r="G97" s="32"/>
    </row>
    <row r="98" ht="15.75" customHeight="1">
      <c r="D98" s="32"/>
      <c r="G98" s="32"/>
    </row>
    <row r="99" ht="15.75" customHeight="1">
      <c r="D99" s="32"/>
      <c r="G99" s="32"/>
    </row>
    <row r="100" ht="15.75" customHeight="1">
      <c r="D100" s="32"/>
      <c r="G100" s="3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">
    <cfRule type="expression" dxfId="3" priority="1">
      <formula>LOWER(D2)="bearish"</formula>
    </cfRule>
  </conditionalFormatting>
  <conditionalFormatting sqref="D2:D100">
    <cfRule type="expression" dxfId="4" priority="2">
      <formula>LOWER(D2)="bullish"</formula>
    </cfRule>
  </conditionalFormatting>
  <conditionalFormatting sqref="D2:D100">
    <cfRule type="expression" dxfId="5" priority="3">
      <formula>LOWER(D2)="neutral"</formula>
    </cfRule>
  </conditionalFormatting>
  <dataValidations>
    <dataValidation type="list" allowBlank="1" sqref="G2:G100">
      <formula1>"Auto,Manual,Weekly Auto / Manual,Live / Manual"</formula1>
    </dataValidation>
    <dataValidation type="list" allowBlank="1" sqref="D2:D100">
      <formula1>"Bullish,Bearish,Neutral"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6.13"/>
    <col customWidth="1" min="3" max="3" width="46.38"/>
    <col customWidth="1" min="4" max="4" width="22.88"/>
    <col customWidth="1" min="5" max="5" width="25.25"/>
    <col customWidth="1" min="6" max="6" width="19.5"/>
    <col customWidth="1" min="7" max="7" width="22.25"/>
    <col customWidth="1" min="8" max="8" width="68.25"/>
    <col customWidth="1" min="9" max="26" width="8.75"/>
  </cols>
  <sheetData>
    <row r="1">
      <c r="A1" s="43" t="s">
        <v>437</v>
      </c>
      <c r="B1" s="43" t="s">
        <v>438</v>
      </c>
      <c r="C1" s="43" t="s">
        <v>439</v>
      </c>
      <c r="D1" s="43" t="s">
        <v>440</v>
      </c>
      <c r="E1" s="43" t="s">
        <v>441</v>
      </c>
      <c r="F1" s="43" t="s">
        <v>442</v>
      </c>
      <c r="G1" s="43" t="s">
        <v>443</v>
      </c>
      <c r="H1" s="43" t="s">
        <v>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18</v>
      </c>
      <c r="B2" s="9" t="s">
        <v>444</v>
      </c>
      <c r="C2" s="9" t="s">
        <v>445</v>
      </c>
      <c r="D2" s="9" t="s">
        <v>446</v>
      </c>
      <c r="E2" s="9" t="s">
        <v>447</v>
      </c>
      <c r="F2" s="9" t="s">
        <v>448</v>
      </c>
      <c r="G2" s="9" t="s">
        <v>419</v>
      </c>
      <c r="H2" s="9" t="s">
        <v>449</v>
      </c>
    </row>
    <row r="3">
      <c r="A3" s="9" t="s">
        <v>450</v>
      </c>
      <c r="B3" s="9" t="s">
        <v>451</v>
      </c>
      <c r="C3" s="9" t="s">
        <v>452</v>
      </c>
      <c r="D3" s="9" t="s">
        <v>453</v>
      </c>
      <c r="E3" s="9" t="s">
        <v>454</v>
      </c>
      <c r="F3" s="9" t="s">
        <v>448</v>
      </c>
      <c r="G3" s="9" t="s">
        <v>422</v>
      </c>
      <c r="H3" s="9" t="s">
        <v>455</v>
      </c>
    </row>
    <row r="4">
      <c r="A4" s="9" t="s">
        <v>456</v>
      </c>
      <c r="B4" s="9" t="s">
        <v>457</v>
      </c>
      <c r="C4" s="9" t="s">
        <v>458</v>
      </c>
      <c r="D4" s="9" t="s">
        <v>453</v>
      </c>
      <c r="E4" s="9" t="s">
        <v>454</v>
      </c>
      <c r="F4" s="9" t="s">
        <v>448</v>
      </c>
      <c r="G4" s="9" t="s">
        <v>422</v>
      </c>
      <c r="H4" s="9" t="s">
        <v>459</v>
      </c>
    </row>
    <row r="5">
      <c r="A5" s="9" t="s">
        <v>460</v>
      </c>
      <c r="B5" s="9" t="s">
        <v>461</v>
      </c>
      <c r="C5" s="9" t="s">
        <v>462</v>
      </c>
      <c r="D5" s="9" t="s">
        <v>463</v>
      </c>
      <c r="E5" s="9" t="s">
        <v>464</v>
      </c>
      <c r="F5" s="9" t="s">
        <v>465</v>
      </c>
      <c r="G5" s="9" t="s">
        <v>466</v>
      </c>
      <c r="H5" s="9" t="s">
        <v>467</v>
      </c>
    </row>
    <row r="6">
      <c r="A6" s="9" t="s">
        <v>468</v>
      </c>
      <c r="B6" s="9" t="s">
        <v>469</v>
      </c>
      <c r="C6" s="9" t="s">
        <v>470</v>
      </c>
      <c r="D6" s="9" t="s">
        <v>471</v>
      </c>
      <c r="E6" s="9" t="s">
        <v>472</v>
      </c>
      <c r="F6" s="9" t="s">
        <v>448</v>
      </c>
      <c r="G6" s="9" t="s">
        <v>468</v>
      </c>
      <c r="H6" s="9" t="s">
        <v>473</v>
      </c>
    </row>
    <row r="7">
      <c r="A7" s="9"/>
      <c r="B7" s="9"/>
      <c r="C7" s="9"/>
      <c r="D7" s="9"/>
      <c r="E7" s="9"/>
      <c r="F7" s="9"/>
      <c r="G7" s="9"/>
      <c r="H7" s="9"/>
    </row>
    <row r="8">
      <c r="A8" s="36" t="s">
        <v>474</v>
      </c>
      <c r="B8" s="36" t="s">
        <v>475</v>
      </c>
      <c r="C8" s="36" t="s">
        <v>476</v>
      </c>
      <c r="D8" s="36" t="s">
        <v>477</v>
      </c>
      <c r="E8" s="36" t="s">
        <v>478</v>
      </c>
      <c r="F8" s="36" t="s">
        <v>448</v>
      </c>
      <c r="G8" s="36" t="s">
        <v>476</v>
      </c>
      <c r="H8" s="36" t="s">
        <v>479</v>
      </c>
    </row>
    <row r="9">
      <c r="A9" s="36" t="s">
        <v>480</v>
      </c>
      <c r="B9" s="36" t="s">
        <v>475</v>
      </c>
      <c r="C9" s="36" t="s">
        <v>481</v>
      </c>
      <c r="D9" s="36" t="s">
        <v>477</v>
      </c>
      <c r="E9" s="36" t="s">
        <v>478</v>
      </c>
      <c r="F9" s="36" t="s">
        <v>448</v>
      </c>
      <c r="G9" s="36" t="s">
        <v>481</v>
      </c>
      <c r="H9" s="36" t="s">
        <v>482</v>
      </c>
    </row>
    <row r="10">
      <c r="A10" s="36" t="s">
        <v>483</v>
      </c>
      <c r="B10" s="36" t="s">
        <v>475</v>
      </c>
      <c r="C10" s="36" t="s">
        <v>484</v>
      </c>
      <c r="D10" s="36" t="s">
        <v>485</v>
      </c>
      <c r="E10" s="36" t="s">
        <v>478</v>
      </c>
      <c r="F10" s="36" t="s">
        <v>448</v>
      </c>
      <c r="G10" s="36" t="s">
        <v>484</v>
      </c>
      <c r="H10" s="36" t="s">
        <v>486</v>
      </c>
    </row>
    <row r="11">
      <c r="A11" s="36" t="s">
        <v>487</v>
      </c>
      <c r="B11" s="36" t="s">
        <v>488</v>
      </c>
      <c r="C11" s="36" t="s">
        <v>489</v>
      </c>
      <c r="D11" s="36" t="s">
        <v>133</v>
      </c>
      <c r="E11" s="36" t="s">
        <v>490</v>
      </c>
      <c r="F11" s="36" t="s">
        <v>147</v>
      </c>
      <c r="G11" s="36" t="s">
        <v>489</v>
      </c>
      <c r="H11" s="36" t="s">
        <v>491</v>
      </c>
    </row>
    <row r="12">
      <c r="A12" s="36" t="s">
        <v>492</v>
      </c>
      <c r="B12" s="36" t="s">
        <v>493</v>
      </c>
      <c r="C12" s="36" t="s">
        <v>494</v>
      </c>
      <c r="D12" s="36" t="s">
        <v>495</v>
      </c>
      <c r="E12" s="36" t="s">
        <v>496</v>
      </c>
      <c r="F12" s="36" t="s">
        <v>448</v>
      </c>
      <c r="G12" s="36" t="s">
        <v>494</v>
      </c>
      <c r="H12" s="36" t="s">
        <v>497</v>
      </c>
    </row>
    <row r="13">
      <c r="A13" s="36" t="s">
        <v>498</v>
      </c>
      <c r="B13" s="36" t="s">
        <v>499</v>
      </c>
      <c r="C13" s="36" t="s">
        <v>500</v>
      </c>
      <c r="D13" s="36" t="s">
        <v>501</v>
      </c>
      <c r="E13" s="36" t="s">
        <v>133</v>
      </c>
      <c r="F13" s="36" t="s">
        <v>448</v>
      </c>
      <c r="G13" s="36" t="s">
        <v>500</v>
      </c>
      <c r="H13" s="36" t="s">
        <v>502</v>
      </c>
    </row>
    <row r="14">
      <c r="A14" s="36" t="s">
        <v>503</v>
      </c>
      <c r="B14" s="36" t="s">
        <v>504</v>
      </c>
      <c r="C14" s="36" t="s">
        <v>505</v>
      </c>
      <c r="D14" s="36" t="s">
        <v>501</v>
      </c>
      <c r="E14" s="36" t="s">
        <v>133</v>
      </c>
      <c r="F14" s="36" t="s">
        <v>448</v>
      </c>
      <c r="G14" s="36" t="s">
        <v>505</v>
      </c>
      <c r="H14" s="36" t="s">
        <v>506</v>
      </c>
    </row>
    <row r="15">
      <c r="A15" s="36"/>
      <c r="B15" s="36"/>
      <c r="C15" s="36"/>
      <c r="D15" s="36"/>
      <c r="E15" s="36"/>
      <c r="F15" s="36"/>
      <c r="G15" s="36"/>
      <c r="H15" s="36"/>
    </row>
    <row r="16">
      <c r="A16" s="36"/>
      <c r="B16" s="36"/>
      <c r="C16" s="36"/>
      <c r="D16" s="36"/>
      <c r="E16" s="36"/>
      <c r="F16" s="36"/>
      <c r="G16" s="36"/>
      <c r="H16" s="36"/>
    </row>
    <row r="17">
      <c r="A17" s="36"/>
      <c r="B17" s="36"/>
      <c r="C17" s="36"/>
      <c r="D17" s="36"/>
      <c r="E17" s="36"/>
      <c r="F17" s="36"/>
      <c r="G17" s="36"/>
      <c r="H17" s="36"/>
    </row>
    <row r="18">
      <c r="A18" s="36"/>
      <c r="B18" s="36"/>
      <c r="C18" s="36"/>
      <c r="D18" s="36"/>
      <c r="E18" s="36"/>
      <c r="F18" s="36"/>
      <c r="G18" s="36"/>
      <c r="H18" s="36"/>
    </row>
    <row r="19">
      <c r="A19" s="36"/>
      <c r="B19" s="36"/>
      <c r="C19" s="36"/>
      <c r="D19" s="36"/>
      <c r="E19" s="36"/>
      <c r="F19" s="36"/>
      <c r="G19" s="36"/>
      <c r="H19" s="36"/>
    </row>
    <row r="20">
      <c r="A20" s="36"/>
      <c r="B20" s="36"/>
      <c r="C20" s="36"/>
      <c r="D20" s="36"/>
      <c r="E20" s="36"/>
      <c r="F20" s="36"/>
      <c r="G20" s="36"/>
      <c r="H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5.13"/>
    <col customWidth="1" min="3" max="3" width="5.38"/>
    <col customWidth="1" min="4" max="4" width="9.63"/>
    <col customWidth="1" min="5" max="5" width="25.0"/>
    <col customWidth="1" min="6" max="6" width="19.88"/>
    <col customWidth="1" min="7" max="7" width="8.75"/>
    <col customWidth="1" min="8" max="8" width="32.13"/>
    <col customWidth="1" min="9" max="9" width="58.13"/>
    <col customWidth="1" min="10" max="10" width="6.88"/>
    <col customWidth="1" min="11" max="26" width="8.75"/>
  </cols>
  <sheetData>
    <row r="1">
      <c r="A1" s="44" t="s">
        <v>98</v>
      </c>
      <c r="B1" s="44" t="s">
        <v>507</v>
      </c>
      <c r="C1" s="44" t="s">
        <v>508</v>
      </c>
      <c r="D1" s="44" t="s">
        <v>4</v>
      </c>
      <c r="E1" s="44" t="s">
        <v>509</v>
      </c>
      <c r="F1" s="44" t="s">
        <v>9</v>
      </c>
      <c r="G1" s="45"/>
      <c r="H1" s="46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7"/>
      <c r="B2" s="32"/>
      <c r="C2" s="32"/>
      <c r="D2" s="32"/>
      <c r="E2" s="48"/>
      <c r="F2" s="32"/>
      <c r="H2" s="9"/>
      <c r="I2" s="9"/>
      <c r="J2" s="9"/>
    </row>
    <row r="3">
      <c r="A3" s="47"/>
      <c r="B3" s="32"/>
      <c r="C3" s="32"/>
      <c r="D3" s="32"/>
      <c r="E3" s="48"/>
      <c r="F3" s="32"/>
      <c r="H3" s="9"/>
      <c r="I3" s="9"/>
      <c r="J3" s="9"/>
    </row>
    <row r="4">
      <c r="A4" s="47"/>
      <c r="B4" s="32"/>
      <c r="C4" s="32"/>
      <c r="D4" s="32"/>
      <c r="E4" s="48"/>
      <c r="F4" s="32"/>
      <c r="H4" s="9"/>
      <c r="I4" s="9"/>
      <c r="J4" s="9"/>
    </row>
    <row r="5">
      <c r="A5" s="47"/>
      <c r="B5" s="32"/>
      <c r="C5" s="32"/>
      <c r="D5" s="32"/>
      <c r="E5" s="48"/>
      <c r="F5" s="32"/>
      <c r="H5" s="9"/>
      <c r="I5" s="9"/>
      <c r="J5" s="9"/>
    </row>
    <row r="6">
      <c r="A6" s="47"/>
      <c r="B6" s="32"/>
      <c r="C6" s="32"/>
      <c r="D6" s="32"/>
      <c r="E6" s="48"/>
      <c r="F6" s="32"/>
      <c r="H6" s="9"/>
      <c r="I6" s="9"/>
      <c r="J6" s="9"/>
    </row>
    <row r="7">
      <c r="A7" s="47"/>
      <c r="B7" s="32"/>
      <c r="C7" s="32"/>
      <c r="D7" s="32"/>
      <c r="E7" s="48"/>
      <c r="F7" s="32"/>
    </row>
    <row r="8">
      <c r="A8" s="47"/>
      <c r="B8" s="32"/>
      <c r="C8" s="32"/>
      <c r="D8" s="32"/>
      <c r="E8" s="48"/>
      <c r="F8" s="32"/>
    </row>
    <row r="9">
      <c r="A9" s="47"/>
      <c r="B9" s="32"/>
      <c r="C9" s="32"/>
      <c r="D9" s="32"/>
      <c r="E9" s="48"/>
      <c r="F9" s="32"/>
    </row>
    <row r="10">
      <c r="A10" s="47"/>
      <c r="B10" s="32"/>
      <c r="C10" s="32"/>
      <c r="D10" s="32"/>
      <c r="E10" s="48"/>
      <c r="F10" s="32"/>
    </row>
    <row r="11">
      <c r="A11" s="47"/>
      <c r="B11" s="32"/>
      <c r="C11" s="32"/>
      <c r="D11" s="32"/>
      <c r="E11" s="48"/>
      <c r="F11" s="32"/>
    </row>
    <row r="12">
      <c r="A12" s="47"/>
      <c r="B12" s="32"/>
      <c r="C12" s="32"/>
      <c r="D12" s="32"/>
      <c r="E12" s="48"/>
      <c r="F12" s="32"/>
    </row>
    <row r="13">
      <c r="A13" s="47"/>
      <c r="B13" s="32"/>
      <c r="C13" s="32"/>
      <c r="D13" s="32"/>
      <c r="E13" s="48"/>
      <c r="F13" s="32"/>
    </row>
    <row r="14">
      <c r="A14" s="47"/>
      <c r="B14" s="32"/>
      <c r="C14" s="32"/>
      <c r="D14" s="32"/>
      <c r="E14" s="48"/>
      <c r="F14" s="32"/>
    </row>
    <row r="15">
      <c r="A15" s="47"/>
      <c r="B15" s="32"/>
      <c r="C15" s="32"/>
      <c r="D15" s="32"/>
      <c r="E15" s="48"/>
      <c r="F15" s="32"/>
    </row>
    <row r="16">
      <c r="A16" s="47"/>
      <c r="B16" s="32"/>
      <c r="C16" s="32"/>
      <c r="D16" s="32"/>
      <c r="E16" s="48"/>
      <c r="F16" s="32"/>
    </row>
    <row r="17">
      <c r="A17" s="47"/>
      <c r="B17" s="32"/>
      <c r="C17" s="32"/>
      <c r="D17" s="32"/>
      <c r="E17" s="48"/>
      <c r="F17" s="32"/>
    </row>
    <row r="18">
      <c r="A18" s="47"/>
      <c r="B18" s="32"/>
      <c r="C18" s="32"/>
      <c r="D18" s="32"/>
      <c r="E18" s="48"/>
      <c r="F18" s="32"/>
    </row>
    <row r="19">
      <c r="A19" s="47"/>
      <c r="B19" s="32"/>
      <c r="C19" s="32"/>
      <c r="D19" s="32"/>
      <c r="E19" s="48"/>
      <c r="F19" s="32"/>
    </row>
    <row r="20">
      <c r="A20" s="47"/>
      <c r="B20" s="32"/>
      <c r="C20" s="32"/>
      <c r="D20" s="32"/>
      <c r="E20" s="48"/>
      <c r="F20" s="32"/>
    </row>
    <row r="21" ht="15.75" customHeight="1">
      <c r="A21" s="47"/>
      <c r="B21" s="32"/>
      <c r="C21" s="32"/>
      <c r="D21" s="32"/>
      <c r="E21" s="48"/>
      <c r="F21" s="32"/>
    </row>
    <row r="22" ht="15.75" customHeight="1">
      <c r="A22" s="47"/>
      <c r="B22" s="32"/>
      <c r="C22" s="32"/>
      <c r="D22" s="32"/>
      <c r="E22" s="48"/>
      <c r="F22" s="32"/>
    </row>
    <row r="23" ht="15.75" customHeight="1">
      <c r="A23" s="47"/>
      <c r="B23" s="32"/>
      <c r="C23" s="32"/>
      <c r="D23" s="32"/>
      <c r="E23" s="48"/>
      <c r="F23" s="32"/>
    </row>
    <row r="24" ht="15.75" customHeight="1">
      <c r="A24" s="47"/>
      <c r="B24" s="32"/>
      <c r="C24" s="32"/>
      <c r="D24" s="32"/>
      <c r="E24" s="48"/>
      <c r="F24" s="32"/>
    </row>
    <row r="25" ht="15.75" customHeight="1">
      <c r="A25" s="47"/>
      <c r="B25" s="32"/>
      <c r="C25" s="32"/>
      <c r="D25" s="32"/>
      <c r="E25" s="48"/>
      <c r="F25" s="32"/>
    </row>
    <row r="26" ht="15.75" customHeight="1">
      <c r="A26" s="47"/>
      <c r="B26" s="32"/>
      <c r="C26" s="32"/>
      <c r="D26" s="32"/>
      <c r="E26" s="48"/>
      <c r="F26" s="32"/>
    </row>
    <row r="27" ht="15.75" customHeight="1">
      <c r="A27" s="47"/>
      <c r="B27" s="32"/>
      <c r="C27" s="32"/>
      <c r="D27" s="32"/>
      <c r="E27" s="48"/>
      <c r="F27" s="32"/>
    </row>
    <row r="28" ht="15.75" customHeight="1">
      <c r="A28" s="47"/>
      <c r="B28" s="32"/>
      <c r="C28" s="32"/>
      <c r="D28" s="32"/>
      <c r="E28" s="48"/>
      <c r="F28" s="32"/>
    </row>
    <row r="29" ht="15.75" customHeight="1">
      <c r="A29" s="47"/>
      <c r="B29" s="32"/>
      <c r="C29" s="32"/>
      <c r="D29" s="32"/>
      <c r="E29" s="48"/>
      <c r="F29" s="32"/>
    </row>
    <row r="30" ht="15.75" customHeight="1">
      <c r="A30" s="47"/>
      <c r="B30" s="32"/>
      <c r="C30" s="32"/>
      <c r="D30" s="32"/>
      <c r="E30" s="48"/>
      <c r="F30" s="32"/>
    </row>
    <row r="31" ht="15.75" customHeight="1">
      <c r="A31" s="47"/>
      <c r="B31" s="32"/>
      <c r="C31" s="32"/>
      <c r="D31" s="32"/>
      <c r="E31" s="48"/>
      <c r="F31" s="32"/>
    </row>
    <row r="32" ht="15.75" customHeight="1">
      <c r="A32" s="47"/>
      <c r="B32" s="32"/>
      <c r="C32" s="32"/>
      <c r="D32" s="32"/>
      <c r="E32" s="48"/>
      <c r="F32" s="32"/>
    </row>
    <row r="33" ht="15.75" customHeight="1">
      <c r="A33" s="47"/>
      <c r="B33" s="32"/>
      <c r="C33" s="32"/>
      <c r="D33" s="32"/>
      <c r="E33" s="48"/>
      <c r="F33" s="32"/>
    </row>
    <row r="34" ht="15.75" customHeight="1">
      <c r="A34" s="47"/>
      <c r="B34" s="32"/>
      <c r="C34" s="32"/>
      <c r="D34" s="32"/>
      <c r="E34" s="48"/>
      <c r="F34" s="32"/>
    </row>
    <row r="35" ht="15.75" customHeight="1">
      <c r="A35" s="47"/>
      <c r="B35" s="32"/>
      <c r="C35" s="32"/>
      <c r="D35" s="32"/>
      <c r="E35" s="48"/>
      <c r="F35" s="32"/>
    </row>
    <row r="36" ht="15.75" customHeight="1">
      <c r="A36" s="47"/>
      <c r="B36" s="32"/>
      <c r="C36" s="32"/>
      <c r="D36" s="32"/>
      <c r="E36" s="48"/>
      <c r="F36" s="32"/>
    </row>
    <row r="37" ht="15.75" customHeight="1">
      <c r="A37" s="47"/>
      <c r="B37" s="32"/>
      <c r="C37" s="32"/>
      <c r="D37" s="32"/>
      <c r="E37" s="48"/>
      <c r="F37" s="32"/>
    </row>
    <row r="38" ht="15.75" customHeight="1">
      <c r="A38" s="47"/>
      <c r="B38" s="32"/>
      <c r="C38" s="32"/>
      <c r="D38" s="32"/>
      <c r="E38" s="48"/>
      <c r="F38" s="32"/>
    </row>
    <row r="39" ht="15.75" customHeight="1">
      <c r="A39" s="47"/>
      <c r="B39" s="32"/>
      <c r="C39" s="32"/>
      <c r="D39" s="32"/>
      <c r="E39" s="48"/>
      <c r="F39" s="32"/>
    </row>
    <row r="40" ht="15.75" customHeight="1">
      <c r="A40" s="47"/>
      <c r="B40" s="32"/>
      <c r="C40" s="32"/>
      <c r="D40" s="32"/>
      <c r="E40" s="48"/>
      <c r="F40" s="32"/>
    </row>
    <row r="41" ht="15.75" customHeight="1">
      <c r="A41" s="47"/>
      <c r="B41" s="32"/>
      <c r="C41" s="32"/>
      <c r="D41" s="32"/>
      <c r="E41" s="48"/>
      <c r="F41" s="32"/>
    </row>
    <row r="42" ht="15.75" customHeight="1">
      <c r="A42" s="47"/>
      <c r="B42" s="32"/>
      <c r="C42" s="32"/>
      <c r="D42" s="32"/>
      <c r="E42" s="48"/>
      <c r="F42" s="32"/>
    </row>
    <row r="43" ht="15.75" customHeight="1">
      <c r="A43" s="47"/>
      <c r="B43" s="32"/>
      <c r="C43" s="32"/>
      <c r="D43" s="32"/>
      <c r="E43" s="48"/>
      <c r="F43" s="32"/>
    </row>
    <row r="44" ht="15.75" customHeight="1">
      <c r="A44" s="47"/>
      <c r="B44" s="32"/>
      <c r="C44" s="32"/>
      <c r="D44" s="32"/>
      <c r="E44" s="48"/>
      <c r="F44" s="32"/>
    </row>
    <row r="45" ht="15.75" customHeight="1">
      <c r="A45" s="47"/>
      <c r="B45" s="32"/>
      <c r="C45" s="32"/>
      <c r="D45" s="32"/>
      <c r="E45" s="48"/>
      <c r="F45" s="32"/>
    </row>
    <row r="46" ht="15.75" customHeight="1">
      <c r="A46" s="47"/>
      <c r="B46" s="32"/>
      <c r="C46" s="32"/>
      <c r="D46" s="32"/>
      <c r="E46" s="48"/>
      <c r="F46" s="32"/>
    </row>
    <row r="47" ht="15.75" customHeight="1">
      <c r="A47" s="47"/>
      <c r="B47" s="32"/>
      <c r="C47" s="32"/>
      <c r="D47" s="32"/>
      <c r="E47" s="48"/>
      <c r="F47" s="32"/>
    </row>
    <row r="48" ht="15.75" customHeight="1">
      <c r="A48" s="47"/>
      <c r="B48" s="32"/>
      <c r="C48" s="32"/>
      <c r="D48" s="32"/>
      <c r="E48" s="48"/>
      <c r="F48" s="32"/>
    </row>
    <row r="49" ht="15.75" customHeight="1">
      <c r="A49" s="47"/>
      <c r="B49" s="32"/>
      <c r="C49" s="32"/>
      <c r="D49" s="32"/>
      <c r="E49" s="48"/>
      <c r="F49" s="32"/>
    </row>
    <row r="50" ht="15.75" customHeight="1">
      <c r="A50" s="47"/>
      <c r="B50" s="32"/>
      <c r="C50" s="32"/>
      <c r="D50" s="32"/>
      <c r="E50" s="48"/>
      <c r="F50" s="32"/>
    </row>
    <row r="51" ht="15.75" customHeight="1">
      <c r="A51" s="47"/>
      <c r="B51" s="32"/>
      <c r="C51" s="32"/>
      <c r="D51" s="32"/>
      <c r="E51" s="48"/>
      <c r="F51" s="32"/>
    </row>
    <row r="52" ht="15.75" customHeight="1">
      <c r="A52" s="47"/>
      <c r="B52" s="32"/>
      <c r="C52" s="32"/>
      <c r="D52" s="32"/>
      <c r="E52" s="48"/>
      <c r="F52" s="32"/>
    </row>
    <row r="53" ht="15.75" customHeight="1">
      <c r="A53" s="47"/>
      <c r="B53" s="32"/>
      <c r="C53" s="32"/>
      <c r="D53" s="32"/>
      <c r="E53" s="48"/>
      <c r="F53" s="32"/>
    </row>
    <row r="54" ht="15.75" customHeight="1">
      <c r="A54" s="47"/>
      <c r="B54" s="32"/>
      <c r="C54" s="32"/>
      <c r="D54" s="32"/>
      <c r="E54" s="48"/>
      <c r="F54" s="32"/>
    </row>
    <row r="55" ht="15.75" customHeight="1">
      <c r="A55" s="47"/>
      <c r="B55" s="32"/>
      <c r="C55" s="32"/>
      <c r="D55" s="32"/>
      <c r="E55" s="48"/>
      <c r="F55" s="32"/>
    </row>
    <row r="56" ht="15.75" customHeight="1">
      <c r="A56" s="47"/>
      <c r="B56" s="32"/>
      <c r="C56" s="32"/>
      <c r="D56" s="32"/>
      <c r="E56" s="48"/>
      <c r="F56" s="32"/>
    </row>
    <row r="57" ht="15.75" customHeight="1">
      <c r="A57" s="47"/>
      <c r="B57" s="32"/>
      <c r="C57" s="32"/>
      <c r="D57" s="32"/>
      <c r="E57" s="48"/>
      <c r="F57" s="32"/>
    </row>
    <row r="58" ht="15.75" customHeight="1">
      <c r="A58" s="47"/>
      <c r="B58" s="32"/>
      <c r="C58" s="32"/>
      <c r="D58" s="32"/>
      <c r="E58" s="48"/>
      <c r="F58" s="32"/>
    </row>
    <row r="59" ht="15.75" customHeight="1">
      <c r="A59" s="47"/>
      <c r="B59" s="32"/>
      <c r="C59" s="32"/>
      <c r="D59" s="32"/>
      <c r="E59" s="48"/>
      <c r="F59" s="32"/>
    </row>
    <row r="60" ht="15.75" customHeight="1">
      <c r="A60" s="47"/>
      <c r="B60" s="32"/>
      <c r="C60" s="32"/>
      <c r="D60" s="32"/>
      <c r="E60" s="48"/>
      <c r="F60" s="32"/>
    </row>
    <row r="61" ht="15.75" customHeight="1">
      <c r="A61" s="47"/>
      <c r="B61" s="32"/>
      <c r="C61" s="32"/>
      <c r="D61" s="32"/>
      <c r="E61" s="48"/>
      <c r="F61" s="32"/>
    </row>
    <row r="62" ht="15.75" customHeight="1">
      <c r="A62" s="47"/>
      <c r="B62" s="32"/>
      <c r="C62" s="32"/>
      <c r="D62" s="32"/>
      <c r="E62" s="48"/>
      <c r="F62" s="32"/>
    </row>
    <row r="63" ht="15.75" customHeight="1">
      <c r="A63" s="47"/>
      <c r="B63" s="32"/>
      <c r="C63" s="32"/>
      <c r="D63" s="32"/>
      <c r="E63" s="48"/>
      <c r="F63" s="32"/>
    </row>
    <row r="64" ht="15.75" customHeight="1">
      <c r="A64" s="47"/>
      <c r="B64" s="32"/>
      <c r="C64" s="32"/>
      <c r="D64" s="32"/>
      <c r="E64" s="48"/>
      <c r="F64" s="32"/>
    </row>
    <row r="65" ht="15.75" customHeight="1">
      <c r="A65" s="47"/>
      <c r="B65" s="32"/>
      <c r="C65" s="32"/>
      <c r="D65" s="32"/>
      <c r="E65" s="48"/>
      <c r="F65" s="32"/>
    </row>
    <row r="66" ht="15.75" customHeight="1">
      <c r="A66" s="47"/>
      <c r="B66" s="32"/>
      <c r="C66" s="32"/>
      <c r="D66" s="32"/>
      <c r="E66" s="48"/>
      <c r="F66" s="32"/>
    </row>
    <row r="67" ht="15.75" customHeight="1">
      <c r="A67" s="47"/>
      <c r="B67" s="32"/>
      <c r="C67" s="32"/>
      <c r="D67" s="32"/>
      <c r="E67" s="48"/>
      <c r="F67" s="32"/>
    </row>
    <row r="68" ht="15.75" customHeight="1">
      <c r="A68" s="47"/>
      <c r="B68" s="32"/>
      <c r="C68" s="32"/>
      <c r="D68" s="32"/>
      <c r="E68" s="48"/>
      <c r="F68" s="32"/>
    </row>
    <row r="69" ht="15.75" customHeight="1">
      <c r="A69" s="47"/>
      <c r="B69" s="32"/>
      <c r="C69" s="32"/>
      <c r="D69" s="32"/>
      <c r="E69" s="48"/>
      <c r="F69" s="32"/>
    </row>
    <row r="70" ht="15.75" customHeight="1">
      <c r="A70" s="47"/>
      <c r="B70" s="32"/>
      <c r="C70" s="32"/>
      <c r="D70" s="32"/>
      <c r="E70" s="48"/>
      <c r="F70" s="32"/>
    </row>
    <row r="71" ht="15.75" customHeight="1">
      <c r="A71" s="47"/>
      <c r="B71" s="32"/>
      <c r="C71" s="32"/>
      <c r="D71" s="32"/>
      <c r="E71" s="48"/>
      <c r="F71" s="32"/>
    </row>
    <row r="72" ht="15.75" customHeight="1">
      <c r="A72" s="47"/>
      <c r="B72" s="32"/>
      <c r="C72" s="32"/>
      <c r="D72" s="32"/>
      <c r="E72" s="48"/>
      <c r="F72" s="32"/>
    </row>
    <row r="73" ht="15.75" customHeight="1">
      <c r="A73" s="47"/>
      <c r="B73" s="32"/>
      <c r="C73" s="32"/>
      <c r="D73" s="32"/>
      <c r="E73" s="48"/>
      <c r="F73" s="32"/>
    </row>
    <row r="74" ht="15.75" customHeight="1">
      <c r="A74" s="47"/>
      <c r="B74" s="32"/>
      <c r="C74" s="32"/>
      <c r="D74" s="32"/>
      <c r="E74" s="48"/>
      <c r="F74" s="32"/>
    </row>
    <row r="75" ht="15.75" customHeight="1">
      <c r="A75" s="47"/>
      <c r="B75" s="32"/>
      <c r="C75" s="32"/>
      <c r="D75" s="32"/>
      <c r="E75" s="48"/>
      <c r="F75" s="32"/>
    </row>
    <row r="76" ht="15.75" customHeight="1">
      <c r="A76" s="47"/>
      <c r="B76" s="32"/>
      <c r="C76" s="32"/>
      <c r="D76" s="32"/>
      <c r="E76" s="48"/>
      <c r="F76" s="32"/>
    </row>
    <row r="77" ht="15.75" customHeight="1">
      <c r="A77" s="47"/>
      <c r="B77" s="32"/>
      <c r="C77" s="32"/>
      <c r="D77" s="32"/>
      <c r="E77" s="48"/>
      <c r="F77" s="32"/>
    </row>
    <row r="78" ht="15.75" customHeight="1">
      <c r="A78" s="47"/>
      <c r="B78" s="32"/>
      <c r="C78" s="32"/>
      <c r="D78" s="32"/>
      <c r="E78" s="48"/>
      <c r="F78" s="32"/>
    </row>
    <row r="79" ht="15.75" customHeight="1">
      <c r="A79" s="47"/>
      <c r="B79" s="32"/>
      <c r="C79" s="32"/>
      <c r="D79" s="32"/>
      <c r="E79" s="48"/>
      <c r="F79" s="32"/>
    </row>
    <row r="80" ht="15.75" customHeight="1">
      <c r="A80" s="47"/>
      <c r="B80" s="32"/>
      <c r="C80" s="32"/>
      <c r="D80" s="32"/>
      <c r="E80" s="48"/>
      <c r="F80" s="32"/>
    </row>
    <row r="81" ht="15.75" customHeight="1">
      <c r="A81" s="47"/>
      <c r="B81" s="32"/>
      <c r="C81" s="32"/>
      <c r="D81" s="32"/>
      <c r="E81" s="48"/>
      <c r="F81" s="32"/>
    </row>
    <row r="82" ht="15.75" customHeight="1">
      <c r="A82" s="47"/>
      <c r="B82" s="32"/>
      <c r="C82" s="32"/>
      <c r="D82" s="32"/>
      <c r="E82" s="48"/>
      <c r="F82" s="32"/>
    </row>
    <row r="83" ht="15.75" customHeight="1">
      <c r="A83" s="47"/>
      <c r="B83" s="32"/>
      <c r="C83" s="32"/>
      <c r="D83" s="32"/>
      <c r="E83" s="48"/>
      <c r="F83" s="32"/>
    </row>
    <row r="84" ht="15.75" customHeight="1">
      <c r="A84" s="47"/>
      <c r="B84" s="32"/>
      <c r="C84" s="32"/>
      <c r="D84" s="32"/>
      <c r="E84" s="48"/>
      <c r="F84" s="32"/>
    </row>
    <row r="85" ht="15.75" customHeight="1">
      <c r="A85" s="47"/>
      <c r="B85" s="32"/>
      <c r="C85" s="32"/>
      <c r="D85" s="32"/>
      <c r="E85" s="48"/>
      <c r="F85" s="32"/>
    </row>
    <row r="86" ht="15.75" customHeight="1">
      <c r="A86" s="47"/>
      <c r="B86" s="32"/>
      <c r="C86" s="32"/>
      <c r="D86" s="32"/>
      <c r="E86" s="48"/>
      <c r="F86" s="32"/>
    </row>
    <row r="87" ht="15.75" customHeight="1">
      <c r="A87" s="47"/>
      <c r="B87" s="32"/>
      <c r="C87" s="32"/>
      <c r="D87" s="32"/>
      <c r="E87" s="48"/>
      <c r="F87" s="32"/>
    </row>
    <row r="88" ht="15.75" customHeight="1">
      <c r="A88" s="47"/>
      <c r="B88" s="32"/>
      <c r="C88" s="32"/>
      <c r="D88" s="32"/>
      <c r="E88" s="48"/>
      <c r="F88" s="32"/>
    </row>
    <row r="89" ht="15.75" customHeight="1">
      <c r="A89" s="47"/>
      <c r="B89" s="32"/>
      <c r="C89" s="32"/>
      <c r="D89" s="32"/>
      <c r="E89" s="48"/>
      <c r="F89" s="32"/>
    </row>
    <row r="90" ht="15.75" customHeight="1">
      <c r="A90" s="47"/>
      <c r="B90" s="32"/>
      <c r="C90" s="32"/>
      <c r="D90" s="32"/>
      <c r="E90" s="48"/>
      <c r="F90" s="32"/>
    </row>
    <row r="91" ht="15.75" customHeight="1">
      <c r="A91" s="47"/>
      <c r="B91" s="32"/>
      <c r="C91" s="32"/>
      <c r="D91" s="32"/>
      <c r="E91" s="48"/>
      <c r="F91" s="32"/>
    </row>
    <row r="92" ht="15.75" customHeight="1">
      <c r="A92" s="47"/>
      <c r="B92" s="32"/>
      <c r="C92" s="32"/>
      <c r="D92" s="32"/>
      <c r="E92" s="48"/>
      <c r="F92" s="32"/>
    </row>
    <row r="93" ht="15.75" customHeight="1">
      <c r="A93" s="47"/>
      <c r="B93" s="32"/>
      <c r="C93" s="32"/>
      <c r="D93" s="32"/>
      <c r="E93" s="48"/>
      <c r="F93" s="32"/>
    </row>
    <row r="94" ht="15.75" customHeight="1">
      <c r="A94" s="47"/>
      <c r="B94" s="32"/>
      <c r="C94" s="32"/>
      <c r="D94" s="32"/>
      <c r="E94" s="48"/>
      <c r="F94" s="32"/>
    </row>
    <row r="95" ht="15.75" customHeight="1">
      <c r="A95" s="47"/>
      <c r="B95" s="32"/>
      <c r="C95" s="32"/>
      <c r="D95" s="32"/>
      <c r="E95" s="48"/>
      <c r="F95" s="32"/>
    </row>
    <row r="96" ht="15.75" customHeight="1">
      <c r="A96" s="47"/>
      <c r="B96" s="32"/>
      <c r="C96" s="32"/>
      <c r="D96" s="32"/>
      <c r="E96" s="48"/>
      <c r="F96" s="32"/>
    </row>
    <row r="97" ht="15.75" customHeight="1">
      <c r="A97" s="47"/>
      <c r="B97" s="32"/>
      <c r="C97" s="32"/>
      <c r="D97" s="32"/>
      <c r="E97" s="48"/>
      <c r="F97" s="32"/>
    </row>
    <row r="98" ht="15.75" customHeight="1">
      <c r="A98" s="47"/>
      <c r="B98" s="32"/>
      <c r="C98" s="32"/>
      <c r="D98" s="32"/>
      <c r="E98" s="48"/>
      <c r="F98" s="32"/>
    </row>
    <row r="99" ht="15.75" customHeight="1">
      <c r="A99" s="47"/>
      <c r="B99" s="32"/>
      <c r="C99" s="32"/>
      <c r="D99" s="32"/>
      <c r="E99" s="48"/>
      <c r="F99" s="32"/>
    </row>
    <row r="100" ht="15.75" customHeight="1">
      <c r="A100" s="47"/>
      <c r="B100" s="32"/>
      <c r="C100" s="32"/>
      <c r="D100" s="32"/>
      <c r="E100" s="48"/>
      <c r="F100" s="32"/>
    </row>
    <row r="101" ht="15.75" customHeight="1">
      <c r="A101" s="47"/>
      <c r="B101" s="32"/>
      <c r="C101" s="32"/>
      <c r="D101" s="32"/>
      <c r="E101" s="48"/>
      <c r="F101" s="32"/>
    </row>
    <row r="102" ht="15.75" customHeight="1">
      <c r="A102" s="47"/>
      <c r="B102" s="32"/>
      <c r="C102" s="32"/>
      <c r="D102" s="32"/>
      <c r="E102" s="48"/>
      <c r="F102" s="32"/>
    </row>
    <row r="103" ht="15.75" customHeight="1">
      <c r="A103" s="47"/>
      <c r="B103" s="32"/>
      <c r="C103" s="32"/>
      <c r="D103" s="32"/>
      <c r="E103" s="48"/>
      <c r="F103" s="32"/>
    </row>
    <row r="104" ht="15.75" customHeight="1">
      <c r="A104" s="47"/>
      <c r="B104" s="32"/>
      <c r="C104" s="32"/>
      <c r="D104" s="32"/>
      <c r="E104" s="48"/>
      <c r="F104" s="32"/>
    </row>
    <row r="105" ht="15.75" customHeight="1">
      <c r="A105" s="47"/>
      <c r="B105" s="32"/>
      <c r="C105" s="32"/>
      <c r="D105" s="32"/>
      <c r="E105" s="48"/>
      <c r="F105" s="32"/>
    </row>
    <row r="106" ht="15.75" customHeight="1">
      <c r="A106" s="47"/>
      <c r="B106" s="32"/>
      <c r="C106" s="32"/>
      <c r="D106" s="32"/>
      <c r="E106" s="48"/>
      <c r="F106" s="32"/>
    </row>
    <row r="107" ht="15.75" customHeight="1">
      <c r="A107" s="47"/>
      <c r="B107" s="32"/>
      <c r="C107" s="32"/>
      <c r="D107" s="32"/>
      <c r="E107" s="48"/>
      <c r="F107" s="32"/>
    </row>
    <row r="108" ht="15.75" customHeight="1">
      <c r="A108" s="47"/>
      <c r="B108" s="32"/>
      <c r="C108" s="32"/>
      <c r="D108" s="32"/>
      <c r="E108" s="48"/>
      <c r="F108" s="32"/>
    </row>
    <row r="109" ht="15.75" customHeight="1">
      <c r="A109" s="47"/>
      <c r="B109" s="32"/>
      <c r="C109" s="32"/>
      <c r="D109" s="32"/>
      <c r="E109" s="48"/>
      <c r="F109" s="32"/>
    </row>
    <row r="110" ht="15.75" customHeight="1">
      <c r="A110" s="47"/>
      <c r="B110" s="32"/>
      <c r="C110" s="32"/>
      <c r="D110" s="32"/>
      <c r="E110" s="48"/>
      <c r="F110" s="32"/>
    </row>
    <row r="111" ht="15.75" customHeight="1">
      <c r="A111" s="47"/>
      <c r="B111" s="32"/>
      <c r="C111" s="32"/>
      <c r="D111" s="32"/>
      <c r="E111" s="48"/>
      <c r="F111" s="32"/>
    </row>
    <row r="112" ht="15.75" customHeight="1">
      <c r="A112" s="47"/>
      <c r="B112" s="32"/>
      <c r="C112" s="32"/>
      <c r="D112" s="32"/>
      <c r="E112" s="48"/>
      <c r="F112" s="32"/>
    </row>
    <row r="113" ht="15.75" customHeight="1">
      <c r="A113" s="47"/>
      <c r="B113" s="32"/>
      <c r="C113" s="32"/>
      <c r="D113" s="32"/>
      <c r="E113" s="48"/>
      <c r="F113" s="32"/>
    </row>
    <row r="114" ht="15.75" customHeight="1">
      <c r="A114" s="47"/>
      <c r="B114" s="32"/>
      <c r="C114" s="32"/>
      <c r="D114" s="32"/>
      <c r="E114" s="48"/>
      <c r="F114" s="32"/>
    </row>
    <row r="115" ht="15.75" customHeight="1">
      <c r="A115" s="47"/>
      <c r="B115" s="32"/>
      <c r="C115" s="32"/>
      <c r="D115" s="32"/>
      <c r="E115" s="48"/>
      <c r="F115" s="32"/>
    </row>
    <row r="116" ht="15.75" customHeight="1">
      <c r="A116" s="47"/>
      <c r="B116" s="32"/>
      <c r="C116" s="32"/>
      <c r="D116" s="32"/>
      <c r="E116" s="48"/>
      <c r="F116" s="32"/>
    </row>
    <row r="117" ht="15.75" customHeight="1">
      <c r="A117" s="47"/>
      <c r="B117" s="32"/>
      <c r="C117" s="32"/>
      <c r="D117" s="32"/>
      <c r="E117" s="48"/>
      <c r="F117" s="32"/>
    </row>
    <row r="118" ht="15.75" customHeight="1">
      <c r="A118" s="47"/>
      <c r="B118" s="32"/>
      <c r="C118" s="32"/>
      <c r="D118" s="32"/>
      <c r="E118" s="48"/>
      <c r="F118" s="32"/>
    </row>
    <row r="119" ht="15.75" customHeight="1">
      <c r="A119" s="47"/>
      <c r="B119" s="32"/>
      <c r="C119" s="32"/>
      <c r="D119" s="32"/>
      <c r="E119" s="48"/>
      <c r="F119" s="32"/>
    </row>
    <row r="120" ht="15.75" customHeight="1">
      <c r="A120" s="47"/>
      <c r="B120" s="32"/>
      <c r="C120" s="32"/>
      <c r="D120" s="32"/>
      <c r="E120" s="48"/>
      <c r="F120" s="32"/>
    </row>
    <row r="121" ht="15.75" customHeight="1">
      <c r="A121" s="47"/>
      <c r="B121" s="32"/>
      <c r="C121" s="32"/>
      <c r="D121" s="32"/>
      <c r="E121" s="48"/>
      <c r="F121" s="32"/>
    </row>
    <row r="122" ht="15.75" customHeight="1">
      <c r="A122" s="47"/>
      <c r="B122" s="32"/>
      <c r="C122" s="32"/>
      <c r="D122" s="32"/>
      <c r="E122" s="48"/>
      <c r="F122" s="32"/>
    </row>
    <row r="123" ht="15.75" customHeight="1">
      <c r="A123" s="47"/>
      <c r="B123" s="32"/>
      <c r="C123" s="32"/>
      <c r="D123" s="32"/>
      <c r="E123" s="48"/>
      <c r="F123" s="32"/>
    </row>
    <row r="124" ht="15.75" customHeight="1">
      <c r="A124" s="47"/>
      <c r="B124" s="32"/>
      <c r="C124" s="32"/>
      <c r="D124" s="32"/>
      <c r="E124" s="48"/>
      <c r="F124" s="32"/>
    </row>
    <row r="125" ht="15.75" customHeight="1">
      <c r="A125" s="47"/>
      <c r="B125" s="32"/>
      <c r="C125" s="32"/>
      <c r="D125" s="32"/>
      <c r="E125" s="48"/>
      <c r="F125" s="32"/>
    </row>
    <row r="126" ht="15.75" customHeight="1">
      <c r="A126" s="47"/>
      <c r="B126" s="32"/>
      <c r="C126" s="32"/>
      <c r="D126" s="32"/>
      <c r="E126" s="48"/>
      <c r="F126" s="32"/>
    </row>
    <row r="127" ht="15.75" customHeight="1">
      <c r="A127" s="47"/>
      <c r="B127" s="32"/>
      <c r="C127" s="32"/>
      <c r="D127" s="32"/>
      <c r="E127" s="48"/>
      <c r="F127" s="32"/>
    </row>
    <row r="128" ht="15.75" customHeight="1">
      <c r="A128" s="47"/>
      <c r="B128" s="32"/>
      <c r="C128" s="32"/>
      <c r="D128" s="32"/>
      <c r="E128" s="48"/>
      <c r="F128" s="32"/>
    </row>
    <row r="129" ht="15.75" customHeight="1">
      <c r="A129" s="47"/>
      <c r="B129" s="32"/>
      <c r="C129" s="32"/>
      <c r="D129" s="32"/>
      <c r="E129" s="48"/>
      <c r="F129" s="32"/>
    </row>
    <row r="130" ht="15.75" customHeight="1">
      <c r="A130" s="47"/>
      <c r="B130" s="32"/>
      <c r="C130" s="32"/>
      <c r="D130" s="32"/>
      <c r="E130" s="48"/>
      <c r="F130" s="32"/>
    </row>
    <row r="131" ht="15.75" customHeight="1">
      <c r="A131" s="47"/>
      <c r="B131" s="32"/>
      <c r="C131" s="32"/>
      <c r="D131" s="32"/>
      <c r="E131" s="48"/>
      <c r="F131" s="32"/>
    </row>
    <row r="132" ht="15.75" customHeight="1">
      <c r="A132" s="47"/>
      <c r="B132" s="32"/>
      <c r="C132" s="32"/>
      <c r="D132" s="32"/>
      <c r="E132" s="48"/>
      <c r="F132" s="32"/>
    </row>
    <row r="133" ht="15.75" customHeight="1">
      <c r="A133" s="47"/>
      <c r="B133" s="32"/>
      <c r="C133" s="32"/>
      <c r="D133" s="32"/>
      <c r="E133" s="48"/>
      <c r="F133" s="32"/>
    </row>
    <row r="134" ht="15.75" customHeight="1">
      <c r="A134" s="47"/>
      <c r="B134" s="32"/>
      <c r="C134" s="32"/>
      <c r="D134" s="32"/>
      <c r="E134" s="48"/>
      <c r="F134" s="32"/>
    </row>
    <row r="135" ht="15.75" customHeight="1">
      <c r="A135" s="47"/>
      <c r="B135" s="32"/>
      <c r="C135" s="32"/>
      <c r="D135" s="32"/>
      <c r="E135" s="48"/>
      <c r="F135" s="32"/>
    </row>
    <row r="136" ht="15.75" customHeight="1">
      <c r="A136" s="47"/>
      <c r="B136" s="32"/>
      <c r="C136" s="32"/>
      <c r="D136" s="32"/>
      <c r="E136" s="48"/>
      <c r="F136" s="32"/>
    </row>
    <row r="137" ht="15.75" customHeight="1">
      <c r="A137" s="47"/>
      <c r="B137" s="32"/>
      <c r="C137" s="32"/>
      <c r="D137" s="32"/>
      <c r="E137" s="48"/>
      <c r="F137" s="32"/>
    </row>
    <row r="138" ht="15.75" customHeight="1">
      <c r="A138" s="47"/>
      <c r="B138" s="32"/>
      <c r="C138" s="32"/>
      <c r="D138" s="32"/>
      <c r="E138" s="48"/>
      <c r="F138" s="32"/>
    </row>
    <row r="139" ht="15.75" customHeight="1">
      <c r="A139" s="47"/>
      <c r="B139" s="32"/>
      <c r="C139" s="32"/>
      <c r="D139" s="32"/>
      <c r="E139" s="48"/>
      <c r="F139" s="32"/>
    </row>
    <row r="140" ht="15.75" customHeight="1">
      <c r="A140" s="47"/>
      <c r="B140" s="32"/>
      <c r="C140" s="32"/>
      <c r="D140" s="32"/>
      <c r="E140" s="48"/>
      <c r="F140" s="32"/>
    </row>
    <row r="141" ht="15.75" customHeight="1">
      <c r="A141" s="47"/>
      <c r="B141" s="32"/>
      <c r="C141" s="32"/>
      <c r="D141" s="32"/>
      <c r="E141" s="48"/>
      <c r="F141" s="32"/>
    </row>
    <row r="142" ht="15.75" customHeight="1">
      <c r="A142" s="47"/>
      <c r="B142" s="32"/>
      <c r="C142" s="32"/>
      <c r="D142" s="32"/>
      <c r="E142" s="48"/>
      <c r="F142" s="32"/>
    </row>
    <row r="143" ht="15.75" customHeight="1">
      <c r="A143" s="47"/>
      <c r="B143" s="32"/>
      <c r="C143" s="32"/>
      <c r="D143" s="32"/>
      <c r="E143" s="48"/>
      <c r="F143" s="32"/>
    </row>
    <row r="144" ht="15.75" customHeight="1">
      <c r="A144" s="47"/>
      <c r="B144" s="32"/>
      <c r="C144" s="32"/>
      <c r="D144" s="32"/>
      <c r="E144" s="48"/>
      <c r="F144" s="32"/>
    </row>
    <row r="145" ht="15.75" customHeight="1">
      <c r="A145" s="47"/>
      <c r="B145" s="32"/>
      <c r="C145" s="32"/>
      <c r="D145" s="32"/>
      <c r="E145" s="48"/>
      <c r="F145" s="32"/>
    </row>
    <row r="146" ht="15.75" customHeight="1">
      <c r="A146" s="47"/>
      <c r="B146" s="32"/>
      <c r="C146" s="32"/>
      <c r="D146" s="32"/>
      <c r="E146" s="48"/>
      <c r="F146" s="32"/>
    </row>
    <row r="147" ht="15.75" customHeight="1">
      <c r="A147" s="47"/>
      <c r="B147" s="32"/>
      <c r="C147" s="32"/>
      <c r="D147" s="32"/>
      <c r="E147" s="48"/>
      <c r="F147" s="32"/>
    </row>
    <row r="148" ht="15.75" customHeight="1">
      <c r="A148" s="47"/>
      <c r="B148" s="32"/>
      <c r="C148" s="32"/>
      <c r="D148" s="32"/>
      <c r="E148" s="48"/>
      <c r="F148" s="32"/>
    </row>
    <row r="149" ht="15.75" customHeight="1">
      <c r="A149" s="47"/>
      <c r="B149" s="32"/>
      <c r="C149" s="32"/>
      <c r="D149" s="32"/>
      <c r="E149" s="48"/>
      <c r="F149" s="32"/>
    </row>
    <row r="150" ht="15.75" customHeight="1">
      <c r="A150" s="47"/>
      <c r="B150" s="32"/>
      <c r="C150" s="32"/>
      <c r="D150" s="32"/>
      <c r="E150" s="48"/>
      <c r="F150" s="32"/>
    </row>
    <row r="151" ht="15.75" customHeight="1">
      <c r="A151" s="47"/>
      <c r="B151" s="32"/>
      <c r="C151" s="32"/>
      <c r="D151" s="32"/>
      <c r="E151" s="48"/>
      <c r="F151" s="32"/>
    </row>
    <row r="152" ht="15.75" customHeight="1">
      <c r="A152" s="47"/>
      <c r="B152" s="32"/>
      <c r="C152" s="32"/>
      <c r="D152" s="32"/>
      <c r="E152" s="48"/>
      <c r="F152" s="32"/>
    </row>
    <row r="153" ht="15.75" customHeight="1">
      <c r="A153" s="47"/>
      <c r="B153" s="32"/>
      <c r="C153" s="32"/>
      <c r="D153" s="32"/>
      <c r="E153" s="48"/>
      <c r="F153" s="32"/>
    </row>
    <row r="154" ht="15.75" customHeight="1">
      <c r="A154" s="47"/>
      <c r="B154" s="32"/>
      <c r="C154" s="32"/>
      <c r="D154" s="32"/>
      <c r="E154" s="48"/>
      <c r="F154" s="32"/>
    </row>
    <row r="155" ht="15.75" customHeight="1">
      <c r="A155" s="47"/>
      <c r="B155" s="32"/>
      <c r="C155" s="32"/>
      <c r="D155" s="32"/>
      <c r="E155" s="48"/>
      <c r="F155" s="32"/>
    </row>
    <row r="156" ht="15.75" customHeight="1">
      <c r="A156" s="47"/>
      <c r="B156" s="32"/>
      <c r="C156" s="32"/>
      <c r="D156" s="32"/>
      <c r="E156" s="48"/>
      <c r="F156" s="32"/>
    </row>
    <row r="157" ht="15.75" customHeight="1">
      <c r="A157" s="47"/>
      <c r="B157" s="32"/>
      <c r="C157" s="32"/>
      <c r="D157" s="32"/>
      <c r="E157" s="48"/>
      <c r="F157" s="32"/>
    </row>
    <row r="158" ht="15.75" customHeight="1">
      <c r="A158" s="47"/>
      <c r="B158" s="32"/>
      <c r="C158" s="32"/>
      <c r="D158" s="32"/>
      <c r="E158" s="48"/>
      <c r="F158" s="32"/>
    </row>
    <row r="159" ht="15.75" customHeight="1">
      <c r="A159" s="47"/>
      <c r="B159" s="32"/>
      <c r="C159" s="32"/>
      <c r="D159" s="32"/>
      <c r="E159" s="48"/>
      <c r="F159" s="32"/>
    </row>
    <row r="160" ht="15.75" customHeight="1">
      <c r="A160" s="47"/>
      <c r="B160" s="32"/>
      <c r="C160" s="32"/>
      <c r="D160" s="32"/>
      <c r="E160" s="48"/>
      <c r="F160" s="32"/>
    </row>
    <row r="161" ht="15.75" customHeight="1">
      <c r="A161" s="47"/>
      <c r="B161" s="32"/>
      <c r="C161" s="32"/>
      <c r="D161" s="32"/>
      <c r="E161" s="48"/>
      <c r="F161" s="32"/>
    </row>
    <row r="162" ht="15.75" customHeight="1">
      <c r="A162" s="47"/>
      <c r="B162" s="32"/>
      <c r="C162" s="32"/>
      <c r="D162" s="32"/>
      <c r="E162" s="48"/>
      <c r="F162" s="32"/>
    </row>
    <row r="163" ht="15.75" customHeight="1">
      <c r="A163" s="47"/>
      <c r="B163" s="32"/>
      <c r="C163" s="32"/>
      <c r="D163" s="32"/>
      <c r="E163" s="48"/>
      <c r="F163" s="32"/>
    </row>
    <row r="164" ht="15.75" customHeight="1">
      <c r="A164" s="47"/>
      <c r="B164" s="32"/>
      <c r="C164" s="32"/>
      <c r="D164" s="32"/>
      <c r="E164" s="48"/>
      <c r="F164" s="32"/>
    </row>
    <row r="165" ht="15.75" customHeight="1">
      <c r="A165" s="47"/>
      <c r="B165" s="32"/>
      <c r="C165" s="32"/>
      <c r="D165" s="32"/>
      <c r="E165" s="48"/>
      <c r="F165" s="32"/>
    </row>
    <row r="166" ht="15.75" customHeight="1">
      <c r="A166" s="47"/>
      <c r="B166" s="32"/>
      <c r="C166" s="32"/>
      <c r="D166" s="32"/>
      <c r="E166" s="48"/>
      <c r="F166" s="32"/>
    </row>
    <row r="167" ht="15.75" customHeight="1">
      <c r="A167" s="47"/>
      <c r="B167" s="32"/>
      <c r="C167" s="32"/>
      <c r="D167" s="32"/>
      <c r="E167" s="48"/>
      <c r="F167" s="32"/>
    </row>
    <row r="168" ht="15.75" customHeight="1">
      <c r="A168" s="47"/>
      <c r="B168" s="32"/>
      <c r="C168" s="32"/>
      <c r="D168" s="32"/>
      <c r="E168" s="48"/>
      <c r="F168" s="32"/>
    </row>
    <row r="169" ht="15.75" customHeight="1">
      <c r="A169" s="47"/>
      <c r="B169" s="32"/>
      <c r="C169" s="32"/>
      <c r="D169" s="32"/>
      <c r="E169" s="48"/>
      <c r="F169" s="32"/>
    </row>
    <row r="170" ht="15.75" customHeight="1">
      <c r="A170" s="47"/>
      <c r="B170" s="32"/>
      <c r="C170" s="32"/>
      <c r="D170" s="32"/>
      <c r="E170" s="48"/>
      <c r="F170" s="32"/>
    </row>
    <row r="171" ht="15.75" customHeight="1">
      <c r="A171" s="47"/>
      <c r="B171" s="32"/>
      <c r="C171" s="32"/>
      <c r="D171" s="32"/>
      <c r="E171" s="48"/>
      <c r="F171" s="32"/>
    </row>
    <row r="172" ht="15.75" customHeight="1">
      <c r="A172" s="47"/>
      <c r="B172" s="32"/>
      <c r="C172" s="32"/>
      <c r="D172" s="32"/>
      <c r="E172" s="48"/>
      <c r="F172" s="32"/>
    </row>
    <row r="173" ht="15.75" customHeight="1">
      <c r="A173" s="47"/>
      <c r="B173" s="32"/>
      <c r="C173" s="32"/>
      <c r="D173" s="32"/>
      <c r="E173" s="48"/>
      <c r="F173" s="32"/>
    </row>
    <row r="174" ht="15.75" customHeight="1">
      <c r="A174" s="47"/>
      <c r="B174" s="32"/>
      <c r="C174" s="32"/>
      <c r="D174" s="32"/>
      <c r="E174" s="48"/>
      <c r="F174" s="32"/>
    </row>
    <row r="175" ht="15.75" customHeight="1">
      <c r="A175" s="47"/>
      <c r="B175" s="32"/>
      <c r="C175" s="32"/>
      <c r="D175" s="32"/>
      <c r="E175" s="48"/>
      <c r="F175" s="32"/>
    </row>
    <row r="176" ht="15.75" customHeight="1">
      <c r="A176" s="47"/>
      <c r="B176" s="32"/>
      <c r="C176" s="32"/>
      <c r="D176" s="32"/>
      <c r="E176" s="48"/>
      <c r="F176" s="32"/>
    </row>
    <row r="177" ht="15.75" customHeight="1">
      <c r="A177" s="47"/>
      <c r="B177" s="32"/>
      <c r="C177" s="32"/>
      <c r="D177" s="32"/>
      <c r="E177" s="48"/>
      <c r="F177" s="32"/>
    </row>
    <row r="178" ht="15.75" customHeight="1">
      <c r="A178" s="47"/>
      <c r="B178" s="32"/>
      <c r="C178" s="32"/>
      <c r="D178" s="32"/>
      <c r="E178" s="48"/>
      <c r="F178" s="32"/>
    </row>
    <row r="179" ht="15.75" customHeight="1">
      <c r="A179" s="47"/>
      <c r="B179" s="32"/>
      <c r="C179" s="32"/>
      <c r="D179" s="32"/>
      <c r="E179" s="48"/>
      <c r="F179" s="32"/>
    </row>
    <row r="180" ht="15.75" customHeight="1">
      <c r="A180" s="47"/>
      <c r="B180" s="32"/>
      <c r="C180" s="32"/>
      <c r="D180" s="32"/>
      <c r="E180" s="48"/>
      <c r="F180" s="32"/>
    </row>
    <row r="181" ht="15.75" customHeight="1">
      <c r="A181" s="47"/>
      <c r="B181" s="32"/>
      <c r="C181" s="32"/>
      <c r="D181" s="32"/>
      <c r="E181" s="48"/>
      <c r="F181" s="32"/>
    </row>
    <row r="182" ht="15.75" customHeight="1">
      <c r="A182" s="47"/>
      <c r="B182" s="32"/>
      <c r="C182" s="32"/>
      <c r="D182" s="32"/>
      <c r="E182" s="48"/>
      <c r="F182" s="32"/>
    </row>
    <row r="183" ht="15.75" customHeight="1">
      <c r="A183" s="47"/>
      <c r="B183" s="32"/>
      <c r="C183" s="32"/>
      <c r="D183" s="32"/>
      <c r="E183" s="48"/>
      <c r="F183" s="32"/>
    </row>
    <row r="184" ht="15.75" customHeight="1">
      <c r="A184" s="47"/>
      <c r="B184" s="32"/>
      <c r="C184" s="32"/>
      <c r="D184" s="32"/>
      <c r="E184" s="48"/>
      <c r="F184" s="32"/>
    </row>
    <row r="185" ht="15.75" customHeight="1">
      <c r="A185" s="47"/>
      <c r="B185" s="32"/>
      <c r="C185" s="32"/>
      <c r="D185" s="32"/>
      <c r="E185" s="48"/>
      <c r="F185" s="32"/>
    </row>
    <row r="186" ht="15.75" customHeight="1">
      <c r="A186" s="47"/>
      <c r="B186" s="32"/>
      <c r="C186" s="32"/>
      <c r="D186" s="32"/>
      <c r="E186" s="48"/>
      <c r="F186" s="32"/>
    </row>
    <row r="187" ht="15.75" customHeight="1">
      <c r="A187" s="47"/>
      <c r="B187" s="32"/>
      <c r="C187" s="32"/>
      <c r="D187" s="32"/>
      <c r="E187" s="48"/>
      <c r="F187" s="32"/>
    </row>
    <row r="188" ht="15.75" customHeight="1">
      <c r="A188" s="47"/>
      <c r="B188" s="32"/>
      <c r="C188" s="32"/>
      <c r="D188" s="32"/>
      <c r="E188" s="48"/>
      <c r="F188" s="32"/>
    </row>
    <row r="189" ht="15.75" customHeight="1">
      <c r="A189" s="47"/>
      <c r="B189" s="32"/>
      <c r="C189" s="32"/>
      <c r="D189" s="32"/>
      <c r="E189" s="48"/>
      <c r="F189" s="32"/>
    </row>
    <row r="190" ht="15.75" customHeight="1">
      <c r="A190" s="47"/>
      <c r="B190" s="32"/>
      <c r="C190" s="32"/>
      <c r="D190" s="32"/>
      <c r="E190" s="48"/>
      <c r="F190" s="32"/>
    </row>
    <row r="191" ht="15.75" customHeight="1">
      <c r="A191" s="47"/>
      <c r="B191" s="32"/>
      <c r="C191" s="32"/>
      <c r="D191" s="32"/>
      <c r="E191" s="48"/>
      <c r="F191" s="32"/>
    </row>
    <row r="192" ht="15.75" customHeight="1">
      <c r="A192" s="47"/>
      <c r="B192" s="32"/>
      <c r="C192" s="32"/>
      <c r="D192" s="32"/>
      <c r="E192" s="48"/>
      <c r="F192" s="32"/>
    </row>
    <row r="193" ht="15.75" customHeight="1">
      <c r="A193" s="47"/>
      <c r="B193" s="32"/>
      <c r="C193" s="32"/>
      <c r="D193" s="32"/>
      <c r="E193" s="48"/>
      <c r="F193" s="32"/>
    </row>
    <row r="194" ht="15.75" customHeight="1">
      <c r="A194" s="47"/>
      <c r="B194" s="32"/>
      <c r="C194" s="32"/>
      <c r="D194" s="32"/>
      <c r="E194" s="48"/>
      <c r="F194" s="32"/>
    </row>
    <row r="195" ht="15.75" customHeight="1">
      <c r="A195" s="47"/>
      <c r="B195" s="32"/>
      <c r="C195" s="32"/>
      <c r="D195" s="32"/>
      <c r="E195" s="48"/>
      <c r="F195" s="32"/>
    </row>
    <row r="196" ht="15.75" customHeight="1">
      <c r="A196" s="47"/>
      <c r="B196" s="32"/>
      <c r="C196" s="32"/>
      <c r="D196" s="32"/>
      <c r="E196" s="48"/>
      <c r="F196" s="32"/>
    </row>
    <row r="197" ht="15.75" customHeight="1">
      <c r="A197" s="47"/>
      <c r="B197" s="32"/>
      <c r="C197" s="32"/>
      <c r="D197" s="32"/>
      <c r="E197" s="48"/>
      <c r="F197" s="32"/>
    </row>
    <row r="198" ht="15.75" customHeight="1">
      <c r="A198" s="47"/>
      <c r="B198" s="32"/>
      <c r="C198" s="32"/>
      <c r="D198" s="32"/>
      <c r="E198" s="48"/>
      <c r="F198" s="32"/>
    </row>
    <row r="199" ht="15.75" customHeight="1">
      <c r="A199" s="47"/>
      <c r="B199" s="32"/>
      <c r="C199" s="32"/>
      <c r="D199" s="32"/>
      <c r="E199" s="48"/>
      <c r="F199" s="32"/>
    </row>
    <row r="200" ht="15.75" customHeight="1">
      <c r="A200" s="47"/>
      <c r="B200" s="32"/>
      <c r="C200" s="32"/>
      <c r="D200" s="32"/>
      <c r="E200" s="48"/>
      <c r="F200" s="32"/>
    </row>
    <row r="201" ht="15.75" customHeight="1">
      <c r="A201" s="47"/>
      <c r="B201" s="32"/>
      <c r="C201" s="32"/>
      <c r="D201" s="32"/>
      <c r="E201" s="48"/>
      <c r="F201" s="32"/>
    </row>
    <row r="202" ht="15.75" customHeight="1">
      <c r="A202" s="47"/>
      <c r="B202" s="32"/>
      <c r="C202" s="32"/>
      <c r="D202" s="32"/>
      <c r="E202" s="48"/>
      <c r="F202" s="32"/>
    </row>
    <row r="203" ht="15.75" customHeight="1">
      <c r="A203" s="47"/>
      <c r="B203" s="32"/>
      <c r="C203" s="32"/>
      <c r="D203" s="32"/>
      <c r="E203" s="48"/>
      <c r="F203" s="32"/>
    </row>
    <row r="204" ht="15.75" customHeight="1">
      <c r="A204" s="47"/>
      <c r="B204" s="32"/>
      <c r="C204" s="32"/>
      <c r="D204" s="32"/>
      <c r="E204" s="48"/>
      <c r="F204" s="32"/>
    </row>
    <row r="205" ht="15.75" customHeight="1">
      <c r="A205" s="47"/>
      <c r="B205" s="32"/>
      <c r="C205" s="32"/>
      <c r="D205" s="32"/>
      <c r="E205" s="48"/>
      <c r="F205" s="32"/>
    </row>
    <row r="206" ht="15.75" customHeight="1">
      <c r="A206" s="47"/>
      <c r="B206" s="32"/>
      <c r="C206" s="32"/>
      <c r="D206" s="32"/>
      <c r="E206" s="48"/>
      <c r="F206" s="32"/>
    </row>
    <row r="207" ht="15.75" customHeight="1">
      <c r="A207" s="47"/>
      <c r="B207" s="32"/>
      <c r="C207" s="32"/>
      <c r="D207" s="32"/>
      <c r="E207" s="48"/>
      <c r="F207" s="32"/>
    </row>
    <row r="208" ht="15.75" customHeight="1">
      <c r="A208" s="47"/>
      <c r="B208" s="32"/>
      <c r="C208" s="32"/>
      <c r="D208" s="32"/>
      <c r="E208" s="48"/>
      <c r="F208" s="32"/>
    </row>
    <row r="209" ht="15.75" customHeight="1">
      <c r="A209" s="47"/>
      <c r="B209" s="32"/>
      <c r="C209" s="32"/>
      <c r="D209" s="32"/>
      <c r="E209" s="48"/>
      <c r="F209" s="32"/>
    </row>
    <row r="210" ht="15.75" customHeight="1">
      <c r="A210" s="47"/>
      <c r="B210" s="32"/>
      <c r="C210" s="32"/>
      <c r="D210" s="32"/>
      <c r="E210" s="48"/>
      <c r="F210" s="32"/>
    </row>
    <row r="211" ht="15.75" customHeight="1">
      <c r="A211" s="47"/>
      <c r="B211" s="32"/>
      <c r="C211" s="32"/>
      <c r="D211" s="32"/>
      <c r="E211" s="48"/>
      <c r="F211" s="32"/>
    </row>
    <row r="212" ht="15.75" customHeight="1">
      <c r="A212" s="47"/>
      <c r="B212" s="32"/>
      <c r="C212" s="32"/>
      <c r="D212" s="32"/>
      <c r="E212" s="48"/>
      <c r="F212" s="32"/>
    </row>
    <row r="213" ht="15.75" customHeight="1">
      <c r="A213" s="47"/>
      <c r="B213" s="32"/>
      <c r="C213" s="32"/>
      <c r="D213" s="32"/>
      <c r="E213" s="48"/>
      <c r="F213" s="32"/>
    </row>
    <row r="214" ht="15.75" customHeight="1">
      <c r="A214" s="47"/>
      <c r="B214" s="32"/>
      <c r="C214" s="32"/>
      <c r="D214" s="32"/>
      <c r="E214" s="48"/>
      <c r="F214" s="32"/>
    </row>
    <row r="215" ht="15.75" customHeight="1">
      <c r="A215" s="47"/>
      <c r="B215" s="32"/>
      <c r="C215" s="32"/>
      <c r="D215" s="32"/>
      <c r="E215" s="48"/>
      <c r="F215" s="32"/>
    </row>
    <row r="216" ht="15.75" customHeight="1">
      <c r="A216" s="47"/>
      <c r="B216" s="32"/>
      <c r="C216" s="32"/>
      <c r="D216" s="32"/>
      <c r="E216" s="48"/>
      <c r="F216" s="32"/>
    </row>
    <row r="217" ht="15.75" customHeight="1">
      <c r="A217" s="47"/>
      <c r="B217" s="32"/>
      <c r="C217" s="32"/>
      <c r="D217" s="32"/>
      <c r="E217" s="48"/>
      <c r="F217" s="32"/>
    </row>
    <row r="218" ht="15.75" customHeight="1">
      <c r="A218" s="47"/>
      <c r="B218" s="32"/>
      <c r="C218" s="32"/>
      <c r="D218" s="32"/>
      <c r="E218" s="48"/>
      <c r="F218" s="32"/>
    </row>
    <row r="219" ht="15.75" customHeight="1">
      <c r="A219" s="47"/>
      <c r="B219" s="32"/>
      <c r="C219" s="32"/>
      <c r="D219" s="32"/>
      <c r="E219" s="48"/>
      <c r="F219" s="32"/>
    </row>
    <row r="220" ht="15.75" customHeight="1">
      <c r="A220" s="47"/>
      <c r="B220" s="32"/>
      <c r="C220" s="32"/>
      <c r="D220" s="32"/>
      <c r="E220" s="48"/>
      <c r="F220" s="32"/>
    </row>
    <row r="221" ht="15.75" customHeight="1">
      <c r="A221" s="47"/>
      <c r="B221" s="32"/>
      <c r="C221" s="32"/>
      <c r="D221" s="32"/>
      <c r="E221" s="48"/>
      <c r="F221" s="32"/>
    </row>
    <row r="222" ht="15.75" customHeight="1">
      <c r="A222" s="47"/>
      <c r="B222" s="32"/>
      <c r="C222" s="32"/>
      <c r="D222" s="32"/>
      <c r="E222" s="48"/>
      <c r="F222" s="32"/>
    </row>
    <row r="223" ht="15.75" customHeight="1">
      <c r="A223" s="47"/>
      <c r="B223" s="32"/>
      <c r="C223" s="32"/>
      <c r="D223" s="32"/>
      <c r="E223" s="48"/>
      <c r="F223" s="32"/>
    </row>
    <row r="224" ht="15.75" customHeight="1">
      <c r="A224" s="47"/>
      <c r="B224" s="32"/>
      <c r="C224" s="32"/>
      <c r="D224" s="32"/>
      <c r="E224" s="48"/>
      <c r="F224" s="32"/>
    </row>
    <row r="225" ht="15.75" customHeight="1">
      <c r="A225" s="47"/>
      <c r="B225" s="32"/>
      <c r="C225" s="32"/>
      <c r="D225" s="32"/>
      <c r="E225" s="48"/>
      <c r="F225" s="32"/>
    </row>
    <row r="226" ht="15.75" customHeight="1">
      <c r="A226" s="47"/>
      <c r="B226" s="32"/>
      <c r="C226" s="32"/>
      <c r="D226" s="32"/>
      <c r="E226" s="48"/>
      <c r="F226" s="32"/>
    </row>
    <row r="227" ht="15.75" customHeight="1">
      <c r="A227" s="47"/>
      <c r="B227" s="32"/>
      <c r="C227" s="32"/>
      <c r="D227" s="32"/>
      <c r="E227" s="48"/>
      <c r="F227" s="32"/>
    </row>
    <row r="228" ht="15.75" customHeight="1">
      <c r="A228" s="47"/>
      <c r="B228" s="32"/>
      <c r="C228" s="32"/>
      <c r="D228" s="32"/>
      <c r="E228" s="48"/>
      <c r="F228" s="32"/>
    </row>
    <row r="229" ht="15.75" customHeight="1">
      <c r="A229" s="47"/>
      <c r="B229" s="32"/>
      <c r="C229" s="32"/>
      <c r="D229" s="32"/>
      <c r="E229" s="48"/>
      <c r="F229" s="32"/>
    </row>
    <row r="230" ht="15.75" customHeight="1">
      <c r="A230" s="47"/>
      <c r="B230" s="32"/>
      <c r="C230" s="32"/>
      <c r="D230" s="32"/>
      <c r="E230" s="48"/>
      <c r="F230" s="32"/>
    </row>
    <row r="231" ht="15.75" customHeight="1">
      <c r="A231" s="47"/>
      <c r="B231" s="32"/>
      <c r="C231" s="32"/>
      <c r="D231" s="32"/>
      <c r="E231" s="48"/>
      <c r="F231" s="32"/>
    </row>
    <row r="232" ht="15.75" customHeight="1">
      <c r="A232" s="47"/>
      <c r="B232" s="32"/>
      <c r="C232" s="32"/>
      <c r="D232" s="32"/>
      <c r="E232" s="48"/>
      <c r="F232" s="32"/>
    </row>
    <row r="233" ht="15.75" customHeight="1">
      <c r="A233" s="47"/>
      <c r="B233" s="32"/>
      <c r="C233" s="32"/>
      <c r="D233" s="32"/>
      <c r="E233" s="48"/>
      <c r="F233" s="32"/>
    </row>
    <row r="234" ht="15.75" customHeight="1">
      <c r="A234" s="47"/>
      <c r="B234" s="32"/>
      <c r="C234" s="32"/>
      <c r="D234" s="32"/>
      <c r="E234" s="48"/>
      <c r="F234" s="32"/>
    </row>
    <row r="235" ht="15.75" customHeight="1">
      <c r="A235" s="47"/>
      <c r="B235" s="32"/>
      <c r="C235" s="32"/>
      <c r="D235" s="32"/>
      <c r="E235" s="48"/>
      <c r="F235" s="32"/>
    </row>
    <row r="236" ht="15.75" customHeight="1">
      <c r="A236" s="47"/>
      <c r="B236" s="32"/>
      <c r="C236" s="32"/>
      <c r="D236" s="32"/>
      <c r="E236" s="48"/>
      <c r="F236" s="32"/>
    </row>
    <row r="237" ht="15.75" customHeight="1">
      <c r="A237" s="47"/>
      <c r="B237" s="32"/>
      <c r="C237" s="32"/>
      <c r="D237" s="32"/>
      <c r="E237" s="48"/>
      <c r="F237" s="32"/>
    </row>
    <row r="238" ht="15.75" customHeight="1">
      <c r="A238" s="47"/>
      <c r="B238" s="32"/>
      <c r="C238" s="32"/>
      <c r="D238" s="32"/>
      <c r="E238" s="48"/>
      <c r="F238" s="32"/>
    </row>
    <row r="239" ht="15.75" customHeight="1">
      <c r="A239" s="47"/>
      <c r="B239" s="32"/>
      <c r="C239" s="32"/>
      <c r="D239" s="32"/>
      <c r="E239" s="48"/>
      <c r="F239" s="32"/>
    </row>
    <row r="240" ht="15.75" customHeight="1">
      <c r="A240" s="47"/>
      <c r="B240" s="32"/>
      <c r="C240" s="32"/>
      <c r="D240" s="32"/>
      <c r="E240" s="48"/>
      <c r="F240" s="32"/>
    </row>
    <row r="241" ht="15.75" customHeight="1">
      <c r="A241" s="47"/>
      <c r="B241" s="32"/>
      <c r="C241" s="32"/>
      <c r="D241" s="32"/>
      <c r="E241" s="48"/>
      <c r="F241" s="32"/>
    </row>
    <row r="242" ht="15.75" customHeight="1">
      <c r="A242" s="47"/>
      <c r="B242" s="32"/>
      <c r="C242" s="32"/>
      <c r="D242" s="32"/>
      <c r="E242" s="48"/>
      <c r="F242" s="32"/>
    </row>
    <row r="243" ht="15.75" customHeight="1">
      <c r="A243" s="47"/>
      <c r="B243" s="32"/>
      <c r="C243" s="32"/>
      <c r="D243" s="32"/>
      <c r="E243" s="48"/>
      <c r="F243" s="32"/>
    </row>
    <row r="244" ht="15.75" customHeight="1">
      <c r="A244" s="47"/>
      <c r="B244" s="32"/>
      <c r="C244" s="32"/>
      <c r="D244" s="32"/>
      <c r="E244" s="48"/>
      <c r="F244" s="32"/>
    </row>
    <row r="245" ht="15.75" customHeight="1">
      <c r="A245" s="47"/>
      <c r="B245" s="32"/>
      <c r="C245" s="32"/>
      <c r="D245" s="32"/>
      <c r="E245" s="48"/>
      <c r="F245" s="32"/>
    </row>
    <row r="246" ht="15.75" customHeight="1">
      <c r="A246" s="47"/>
      <c r="B246" s="32"/>
      <c r="C246" s="32"/>
      <c r="D246" s="32"/>
      <c r="E246" s="48"/>
      <c r="F246" s="32"/>
    </row>
    <row r="247" ht="15.75" customHeight="1">
      <c r="A247" s="47"/>
      <c r="B247" s="32"/>
      <c r="C247" s="32"/>
      <c r="D247" s="32"/>
      <c r="E247" s="48"/>
      <c r="F247" s="32"/>
    </row>
    <row r="248" ht="15.75" customHeight="1">
      <c r="A248" s="47"/>
      <c r="B248" s="32"/>
      <c r="C248" s="32"/>
      <c r="D248" s="32"/>
      <c r="E248" s="48"/>
      <c r="F248" s="32"/>
    </row>
    <row r="249" ht="15.75" customHeight="1">
      <c r="A249" s="47"/>
      <c r="B249" s="32"/>
      <c r="C249" s="32"/>
      <c r="D249" s="32"/>
      <c r="E249" s="48"/>
      <c r="F249" s="32"/>
    </row>
    <row r="250" ht="15.75" customHeight="1">
      <c r="A250" s="47"/>
      <c r="B250" s="32"/>
      <c r="C250" s="32"/>
      <c r="D250" s="32"/>
      <c r="E250" s="48"/>
      <c r="F250" s="32"/>
    </row>
    <row r="251" ht="15.75" customHeight="1">
      <c r="A251" s="47"/>
      <c r="B251" s="32"/>
      <c r="C251" s="32"/>
      <c r="D251" s="32"/>
      <c r="E251" s="48"/>
      <c r="F251" s="32"/>
    </row>
    <row r="252" ht="15.75" customHeight="1">
      <c r="A252" s="47"/>
      <c r="B252" s="32"/>
      <c r="C252" s="32"/>
      <c r="D252" s="32"/>
      <c r="E252" s="48"/>
      <c r="F252" s="32"/>
    </row>
    <row r="253" ht="15.75" customHeight="1">
      <c r="A253" s="47"/>
      <c r="B253" s="32"/>
      <c r="C253" s="32"/>
      <c r="D253" s="32"/>
      <c r="E253" s="48"/>
      <c r="F253" s="32"/>
    </row>
    <row r="254" ht="15.75" customHeight="1">
      <c r="A254" s="47"/>
      <c r="B254" s="32"/>
      <c r="C254" s="32"/>
      <c r="D254" s="32"/>
      <c r="E254" s="48"/>
      <c r="F254" s="32"/>
    </row>
    <row r="255" ht="15.75" customHeight="1">
      <c r="A255" s="47"/>
      <c r="B255" s="32"/>
      <c r="C255" s="32"/>
      <c r="D255" s="32"/>
      <c r="E255" s="48"/>
      <c r="F255" s="32"/>
    </row>
    <row r="256" ht="15.75" customHeight="1">
      <c r="A256" s="47"/>
      <c r="B256" s="32"/>
      <c r="C256" s="32"/>
      <c r="D256" s="32"/>
      <c r="E256" s="48"/>
      <c r="F256" s="32"/>
    </row>
    <row r="257" ht="15.75" customHeight="1">
      <c r="A257" s="47"/>
      <c r="B257" s="32"/>
      <c r="C257" s="32"/>
      <c r="D257" s="32"/>
      <c r="E257" s="48"/>
      <c r="F257" s="32"/>
    </row>
    <row r="258" ht="15.75" customHeight="1">
      <c r="A258" s="47"/>
      <c r="B258" s="32"/>
      <c r="C258" s="32"/>
      <c r="D258" s="32"/>
      <c r="E258" s="48"/>
      <c r="F258" s="32"/>
    </row>
    <row r="259" ht="15.75" customHeight="1">
      <c r="A259" s="47"/>
      <c r="B259" s="32"/>
      <c r="C259" s="32"/>
      <c r="D259" s="32"/>
      <c r="E259" s="48"/>
      <c r="F259" s="32"/>
    </row>
    <row r="260" ht="15.75" customHeight="1">
      <c r="A260" s="47"/>
      <c r="B260" s="32"/>
      <c r="C260" s="32"/>
      <c r="D260" s="32"/>
      <c r="E260" s="48"/>
      <c r="F260" s="32"/>
    </row>
    <row r="261" ht="15.75" customHeight="1">
      <c r="A261" s="47"/>
      <c r="B261" s="32"/>
      <c r="C261" s="32"/>
      <c r="D261" s="32"/>
      <c r="E261" s="48"/>
      <c r="F261" s="32"/>
    </row>
    <row r="262" ht="15.75" customHeight="1">
      <c r="A262" s="47"/>
      <c r="B262" s="32"/>
      <c r="C262" s="32"/>
      <c r="D262" s="32"/>
      <c r="E262" s="48"/>
      <c r="F262" s="32"/>
    </row>
    <row r="263" ht="15.75" customHeight="1">
      <c r="A263" s="47"/>
      <c r="B263" s="32"/>
      <c r="C263" s="32"/>
      <c r="D263" s="32"/>
      <c r="E263" s="48"/>
      <c r="F263" s="32"/>
    </row>
    <row r="264" ht="15.75" customHeight="1">
      <c r="A264" s="47"/>
      <c r="B264" s="32"/>
      <c r="C264" s="32"/>
      <c r="D264" s="32"/>
      <c r="E264" s="48"/>
      <c r="F264" s="32"/>
    </row>
    <row r="265" ht="15.75" customHeight="1">
      <c r="A265" s="47"/>
      <c r="B265" s="32"/>
      <c r="C265" s="32"/>
      <c r="D265" s="32"/>
      <c r="E265" s="48"/>
      <c r="F265" s="32"/>
    </row>
    <row r="266" ht="15.75" customHeight="1">
      <c r="A266" s="47"/>
      <c r="B266" s="32"/>
      <c r="C266" s="32"/>
      <c r="D266" s="32"/>
      <c r="E266" s="48"/>
      <c r="F266" s="32"/>
    </row>
    <row r="267" ht="15.75" customHeight="1">
      <c r="A267" s="47"/>
      <c r="B267" s="32"/>
      <c r="C267" s="32"/>
      <c r="D267" s="32"/>
      <c r="E267" s="48"/>
      <c r="F267" s="32"/>
    </row>
    <row r="268" ht="15.75" customHeight="1">
      <c r="A268" s="47"/>
      <c r="B268" s="32"/>
      <c r="C268" s="32"/>
      <c r="D268" s="32"/>
      <c r="E268" s="48"/>
      <c r="F268" s="32"/>
    </row>
    <row r="269" ht="15.75" customHeight="1">
      <c r="A269" s="47"/>
      <c r="B269" s="32"/>
      <c r="C269" s="32"/>
      <c r="D269" s="32"/>
      <c r="E269" s="48"/>
      <c r="F269" s="32"/>
    </row>
    <row r="270" ht="15.75" customHeight="1">
      <c r="A270" s="47"/>
      <c r="B270" s="32"/>
      <c r="C270" s="32"/>
      <c r="D270" s="32"/>
      <c r="E270" s="48"/>
      <c r="F270" s="32"/>
    </row>
    <row r="271" ht="15.75" customHeight="1">
      <c r="A271" s="47"/>
      <c r="B271" s="32"/>
      <c r="C271" s="32"/>
      <c r="D271" s="32"/>
      <c r="E271" s="48"/>
      <c r="F271" s="32"/>
    </row>
    <row r="272" ht="15.75" customHeight="1">
      <c r="A272" s="47"/>
      <c r="B272" s="32"/>
      <c r="C272" s="32"/>
      <c r="D272" s="32"/>
      <c r="E272" s="48"/>
      <c r="F272" s="32"/>
    </row>
    <row r="273" ht="15.75" customHeight="1">
      <c r="A273" s="47"/>
      <c r="B273" s="32"/>
      <c r="C273" s="32"/>
      <c r="D273" s="32"/>
      <c r="E273" s="48"/>
      <c r="F273" s="32"/>
    </row>
    <row r="274" ht="15.75" customHeight="1">
      <c r="A274" s="47"/>
      <c r="B274" s="32"/>
      <c r="C274" s="32"/>
      <c r="D274" s="32"/>
      <c r="E274" s="48"/>
      <c r="F274" s="32"/>
    </row>
    <row r="275" ht="15.75" customHeight="1">
      <c r="A275" s="47"/>
      <c r="B275" s="32"/>
      <c r="C275" s="32"/>
      <c r="D275" s="32"/>
      <c r="E275" s="48"/>
      <c r="F275" s="32"/>
    </row>
    <row r="276" ht="15.75" customHeight="1">
      <c r="A276" s="47"/>
      <c r="B276" s="32"/>
      <c r="C276" s="32"/>
      <c r="D276" s="32"/>
      <c r="E276" s="48"/>
      <c r="F276" s="32"/>
    </row>
    <row r="277" ht="15.75" customHeight="1">
      <c r="A277" s="47"/>
      <c r="B277" s="32"/>
      <c r="C277" s="32"/>
      <c r="D277" s="32"/>
      <c r="E277" s="48"/>
      <c r="F277" s="32"/>
    </row>
    <row r="278" ht="15.75" customHeight="1">
      <c r="A278" s="47"/>
      <c r="B278" s="32"/>
      <c r="C278" s="32"/>
      <c r="D278" s="32"/>
      <c r="E278" s="48"/>
      <c r="F278" s="32"/>
    </row>
    <row r="279" ht="15.75" customHeight="1">
      <c r="A279" s="47"/>
      <c r="B279" s="32"/>
      <c r="C279" s="32"/>
      <c r="D279" s="32"/>
      <c r="E279" s="48"/>
      <c r="F279" s="32"/>
    </row>
    <row r="280" ht="15.75" customHeight="1">
      <c r="A280" s="47"/>
      <c r="B280" s="32"/>
      <c r="C280" s="32"/>
      <c r="D280" s="32"/>
      <c r="E280" s="48"/>
      <c r="F280" s="32"/>
    </row>
    <row r="281" ht="15.75" customHeight="1">
      <c r="A281" s="47"/>
      <c r="B281" s="32"/>
      <c r="C281" s="32"/>
      <c r="D281" s="32"/>
      <c r="E281" s="48"/>
      <c r="F281" s="32"/>
    </row>
    <row r="282" ht="15.75" customHeight="1">
      <c r="A282" s="47"/>
      <c r="B282" s="32"/>
      <c r="C282" s="32"/>
      <c r="D282" s="32"/>
      <c r="E282" s="48"/>
      <c r="F282" s="32"/>
    </row>
    <row r="283" ht="15.75" customHeight="1">
      <c r="A283" s="47"/>
      <c r="B283" s="32"/>
      <c r="C283" s="32"/>
      <c r="D283" s="32"/>
      <c r="E283" s="48"/>
      <c r="F283" s="32"/>
    </row>
    <row r="284" ht="15.75" customHeight="1">
      <c r="A284" s="47"/>
      <c r="B284" s="32"/>
      <c r="C284" s="32"/>
      <c r="D284" s="32"/>
      <c r="E284" s="48"/>
      <c r="F284" s="32"/>
    </row>
    <row r="285" ht="15.75" customHeight="1">
      <c r="A285" s="47"/>
      <c r="B285" s="32"/>
      <c r="C285" s="32"/>
      <c r="D285" s="32"/>
      <c r="E285" s="48"/>
      <c r="F285" s="32"/>
    </row>
    <row r="286" ht="15.75" customHeight="1">
      <c r="A286" s="47"/>
      <c r="B286" s="32"/>
      <c r="C286" s="32"/>
      <c r="D286" s="32"/>
      <c r="E286" s="48"/>
      <c r="F286" s="32"/>
    </row>
    <row r="287" ht="15.75" customHeight="1">
      <c r="A287" s="47"/>
      <c r="B287" s="32"/>
      <c r="C287" s="32"/>
      <c r="D287" s="32"/>
      <c r="E287" s="48"/>
      <c r="F287" s="32"/>
    </row>
    <row r="288" ht="15.75" customHeight="1">
      <c r="A288" s="47"/>
      <c r="B288" s="32"/>
      <c r="C288" s="32"/>
      <c r="D288" s="32"/>
      <c r="E288" s="48"/>
      <c r="F288" s="32"/>
    </row>
    <row r="289" ht="15.75" customHeight="1">
      <c r="A289" s="47"/>
      <c r="B289" s="32"/>
      <c r="C289" s="32"/>
      <c r="D289" s="32"/>
      <c r="E289" s="48"/>
      <c r="F289" s="32"/>
    </row>
    <row r="290" ht="15.75" customHeight="1">
      <c r="A290" s="47"/>
      <c r="B290" s="32"/>
      <c r="C290" s="32"/>
      <c r="D290" s="32"/>
      <c r="E290" s="48"/>
      <c r="F290" s="32"/>
    </row>
    <row r="291" ht="15.75" customHeight="1">
      <c r="A291" s="47"/>
      <c r="B291" s="32"/>
      <c r="C291" s="32"/>
      <c r="D291" s="32"/>
      <c r="E291" s="48"/>
      <c r="F291" s="32"/>
    </row>
    <row r="292" ht="15.75" customHeight="1">
      <c r="A292" s="47"/>
      <c r="B292" s="32"/>
      <c r="C292" s="32"/>
      <c r="D292" s="32"/>
      <c r="E292" s="48"/>
      <c r="F292" s="32"/>
    </row>
    <row r="293" ht="15.75" customHeight="1">
      <c r="A293" s="47"/>
      <c r="B293" s="32"/>
      <c r="C293" s="32"/>
      <c r="D293" s="32"/>
      <c r="E293" s="48"/>
      <c r="F293" s="32"/>
    </row>
    <row r="294" ht="15.75" customHeight="1">
      <c r="A294" s="47"/>
      <c r="B294" s="32"/>
      <c r="C294" s="32"/>
      <c r="D294" s="32"/>
      <c r="E294" s="48"/>
      <c r="F294" s="32"/>
    </row>
    <row r="295" ht="15.75" customHeight="1">
      <c r="A295" s="47"/>
      <c r="B295" s="32"/>
      <c r="C295" s="32"/>
      <c r="D295" s="32"/>
      <c r="E295" s="48"/>
      <c r="F295" s="32"/>
    </row>
    <row r="296" ht="15.75" customHeight="1">
      <c r="A296" s="47"/>
      <c r="B296" s="32"/>
      <c r="C296" s="32"/>
      <c r="D296" s="32"/>
      <c r="E296" s="48"/>
      <c r="F296" s="32"/>
    </row>
    <row r="297" ht="15.75" customHeight="1">
      <c r="A297" s="47"/>
      <c r="B297" s="32"/>
      <c r="C297" s="32"/>
      <c r="D297" s="32"/>
      <c r="E297" s="48"/>
      <c r="F297" s="32"/>
    </row>
    <row r="298" ht="15.75" customHeight="1">
      <c r="A298" s="47"/>
      <c r="B298" s="32"/>
      <c r="C298" s="32"/>
      <c r="D298" s="32"/>
      <c r="E298" s="48"/>
      <c r="F298" s="32"/>
    </row>
    <row r="299" ht="15.75" customHeight="1">
      <c r="A299" s="47"/>
      <c r="B299" s="32"/>
      <c r="C299" s="32"/>
      <c r="D299" s="32"/>
      <c r="E299" s="48"/>
      <c r="F299" s="32"/>
    </row>
    <row r="300" ht="15.75" customHeight="1">
      <c r="A300" s="47"/>
      <c r="B300" s="32"/>
      <c r="C300" s="32"/>
      <c r="D300" s="32"/>
      <c r="E300" s="48"/>
      <c r="F300" s="32"/>
    </row>
    <row r="301" ht="15.75" customHeight="1">
      <c r="A301" s="47"/>
      <c r="B301" s="32"/>
      <c r="C301" s="32"/>
      <c r="D301" s="32"/>
      <c r="E301" s="48"/>
      <c r="F301" s="32"/>
    </row>
    <row r="302" ht="15.75" customHeight="1">
      <c r="A302" s="47"/>
      <c r="B302" s="32"/>
      <c r="C302" s="32"/>
      <c r="D302" s="32"/>
      <c r="E302" s="48"/>
      <c r="F302" s="32"/>
    </row>
    <row r="303" ht="15.75" customHeight="1">
      <c r="A303" s="47"/>
      <c r="B303" s="32"/>
      <c r="C303" s="32"/>
      <c r="D303" s="32"/>
      <c r="E303" s="48"/>
      <c r="F303" s="32"/>
    </row>
    <row r="304" ht="15.75" customHeight="1">
      <c r="A304" s="47"/>
      <c r="B304" s="32"/>
      <c r="C304" s="32"/>
      <c r="D304" s="32"/>
      <c r="E304" s="48"/>
      <c r="F304" s="32"/>
    </row>
    <row r="305" ht="15.75" customHeight="1">
      <c r="A305" s="47"/>
      <c r="B305" s="32"/>
      <c r="C305" s="32"/>
      <c r="D305" s="32"/>
      <c r="E305" s="48"/>
      <c r="F305" s="32"/>
    </row>
    <row r="306" ht="15.75" customHeight="1">
      <c r="A306" s="47"/>
      <c r="B306" s="32"/>
      <c r="C306" s="32"/>
      <c r="D306" s="32"/>
      <c r="E306" s="48"/>
      <c r="F306" s="32"/>
    </row>
    <row r="307" ht="15.75" customHeight="1">
      <c r="A307" s="47"/>
      <c r="B307" s="32"/>
      <c r="C307" s="32"/>
      <c r="D307" s="32"/>
      <c r="E307" s="48"/>
      <c r="F307" s="32"/>
    </row>
    <row r="308" ht="15.75" customHeight="1">
      <c r="A308" s="47"/>
      <c r="B308" s="32"/>
      <c r="C308" s="32"/>
      <c r="D308" s="32"/>
      <c r="E308" s="48"/>
      <c r="F308" s="32"/>
    </row>
    <row r="309" ht="15.75" customHeight="1">
      <c r="A309" s="47"/>
      <c r="B309" s="32"/>
      <c r="C309" s="32"/>
      <c r="D309" s="32"/>
      <c r="E309" s="48"/>
      <c r="F309" s="32"/>
    </row>
    <row r="310" ht="15.75" customHeight="1">
      <c r="A310" s="47"/>
      <c r="B310" s="32"/>
      <c r="C310" s="32"/>
      <c r="D310" s="32"/>
      <c r="E310" s="48"/>
      <c r="F310" s="32"/>
    </row>
    <row r="311" ht="15.75" customHeight="1">
      <c r="A311" s="47"/>
      <c r="B311" s="32"/>
      <c r="C311" s="32"/>
      <c r="D311" s="32"/>
      <c r="E311" s="48"/>
      <c r="F311" s="32"/>
    </row>
    <row r="312" ht="15.75" customHeight="1">
      <c r="A312" s="47"/>
      <c r="B312" s="32"/>
      <c r="C312" s="32"/>
      <c r="D312" s="32"/>
      <c r="E312" s="48"/>
      <c r="F312" s="32"/>
    </row>
    <row r="313" ht="15.75" customHeight="1">
      <c r="A313" s="47"/>
      <c r="B313" s="32"/>
      <c r="C313" s="32"/>
      <c r="D313" s="32"/>
      <c r="E313" s="48"/>
      <c r="F313" s="32"/>
    </row>
    <row r="314" ht="15.75" customHeight="1">
      <c r="A314" s="47"/>
      <c r="B314" s="32"/>
      <c r="C314" s="32"/>
      <c r="D314" s="32"/>
      <c r="E314" s="48"/>
      <c r="F314" s="32"/>
    </row>
    <row r="315" ht="15.75" customHeight="1">
      <c r="A315" s="47"/>
      <c r="B315" s="32"/>
      <c r="C315" s="32"/>
      <c r="D315" s="32"/>
      <c r="E315" s="48"/>
      <c r="F315" s="32"/>
    </row>
    <row r="316" ht="15.75" customHeight="1">
      <c r="A316" s="47"/>
      <c r="B316" s="32"/>
      <c r="C316" s="32"/>
      <c r="D316" s="32"/>
      <c r="E316" s="48"/>
      <c r="F316" s="32"/>
    </row>
    <row r="317" ht="15.75" customHeight="1">
      <c r="A317" s="47"/>
      <c r="B317" s="32"/>
      <c r="C317" s="32"/>
      <c r="D317" s="32"/>
      <c r="E317" s="48"/>
      <c r="F317" s="32"/>
    </row>
    <row r="318" ht="15.75" customHeight="1">
      <c r="A318" s="47"/>
      <c r="B318" s="32"/>
      <c r="C318" s="32"/>
      <c r="D318" s="32"/>
      <c r="E318" s="48"/>
      <c r="F318" s="32"/>
    </row>
    <row r="319" ht="15.75" customHeight="1">
      <c r="A319" s="47"/>
      <c r="B319" s="32"/>
      <c r="C319" s="32"/>
      <c r="D319" s="32"/>
      <c r="E319" s="48"/>
      <c r="F319" s="32"/>
    </row>
    <row r="320" ht="15.75" customHeight="1">
      <c r="A320" s="47"/>
      <c r="B320" s="32"/>
      <c r="C320" s="32"/>
      <c r="D320" s="32"/>
      <c r="E320" s="48"/>
      <c r="F320" s="32"/>
    </row>
    <row r="321" ht="15.75" customHeight="1">
      <c r="A321" s="47"/>
      <c r="B321" s="32"/>
      <c r="C321" s="32"/>
      <c r="D321" s="32"/>
      <c r="E321" s="48"/>
      <c r="F321" s="32"/>
    </row>
    <row r="322" ht="15.75" customHeight="1">
      <c r="A322" s="47"/>
      <c r="B322" s="32"/>
      <c r="C322" s="32"/>
      <c r="D322" s="32"/>
      <c r="E322" s="48"/>
      <c r="F322" s="32"/>
    </row>
    <row r="323" ht="15.75" customHeight="1">
      <c r="A323" s="47"/>
      <c r="B323" s="32"/>
      <c r="C323" s="32"/>
      <c r="D323" s="32"/>
      <c r="E323" s="48"/>
      <c r="F323" s="32"/>
    </row>
    <row r="324" ht="15.75" customHeight="1">
      <c r="A324" s="47"/>
      <c r="B324" s="32"/>
      <c r="C324" s="32"/>
      <c r="D324" s="32"/>
      <c r="E324" s="48"/>
      <c r="F324" s="32"/>
    </row>
    <row r="325" ht="15.75" customHeight="1">
      <c r="A325" s="47"/>
      <c r="B325" s="32"/>
      <c r="C325" s="32"/>
      <c r="D325" s="32"/>
      <c r="E325" s="48"/>
      <c r="F325" s="32"/>
    </row>
    <row r="326" ht="15.75" customHeight="1">
      <c r="A326" s="47"/>
      <c r="B326" s="32"/>
      <c r="C326" s="32"/>
      <c r="D326" s="32"/>
      <c r="E326" s="48"/>
      <c r="F326" s="32"/>
    </row>
    <row r="327" ht="15.75" customHeight="1">
      <c r="A327" s="47"/>
      <c r="B327" s="32"/>
      <c r="C327" s="32"/>
      <c r="D327" s="32"/>
      <c r="E327" s="48"/>
      <c r="F327" s="32"/>
    </row>
    <row r="328" ht="15.75" customHeight="1">
      <c r="A328" s="47"/>
      <c r="B328" s="32"/>
      <c r="C328" s="32"/>
      <c r="D328" s="32"/>
      <c r="E328" s="48"/>
      <c r="F328" s="32"/>
    </row>
    <row r="329" ht="15.75" customHeight="1">
      <c r="A329" s="47"/>
      <c r="B329" s="32"/>
      <c r="C329" s="32"/>
      <c r="D329" s="32"/>
      <c r="E329" s="48"/>
      <c r="F329" s="32"/>
    </row>
    <row r="330" ht="15.75" customHeight="1">
      <c r="A330" s="47"/>
      <c r="B330" s="32"/>
      <c r="C330" s="32"/>
      <c r="D330" s="32"/>
      <c r="E330" s="48"/>
      <c r="F330" s="32"/>
    </row>
    <row r="331" ht="15.75" customHeight="1">
      <c r="A331" s="47"/>
      <c r="B331" s="32"/>
      <c r="C331" s="32"/>
      <c r="D331" s="32"/>
      <c r="E331" s="48"/>
      <c r="F331" s="32"/>
    </row>
    <row r="332" ht="15.75" customHeight="1">
      <c r="A332" s="47"/>
      <c r="B332" s="32"/>
      <c r="C332" s="32"/>
      <c r="D332" s="32"/>
      <c r="E332" s="48"/>
      <c r="F332" s="32"/>
    </row>
    <row r="333" ht="15.75" customHeight="1">
      <c r="A333" s="47"/>
      <c r="B333" s="32"/>
      <c r="C333" s="32"/>
      <c r="D333" s="32"/>
      <c r="E333" s="48"/>
      <c r="F333" s="32"/>
    </row>
    <row r="334" ht="15.75" customHeight="1">
      <c r="A334" s="47"/>
      <c r="B334" s="32"/>
      <c r="C334" s="32"/>
      <c r="D334" s="32"/>
      <c r="E334" s="48"/>
      <c r="F334" s="32"/>
    </row>
    <row r="335" ht="15.75" customHeight="1">
      <c r="A335" s="47"/>
      <c r="B335" s="32"/>
      <c r="C335" s="32"/>
      <c r="D335" s="32"/>
      <c r="E335" s="48"/>
      <c r="F335" s="32"/>
    </row>
    <row r="336" ht="15.75" customHeight="1">
      <c r="A336" s="47"/>
      <c r="B336" s="32"/>
      <c r="C336" s="32"/>
      <c r="D336" s="32"/>
      <c r="E336" s="48"/>
      <c r="F336" s="32"/>
    </row>
    <row r="337" ht="15.75" customHeight="1">
      <c r="A337" s="47"/>
      <c r="B337" s="32"/>
      <c r="C337" s="32"/>
      <c r="D337" s="32"/>
      <c r="E337" s="48"/>
      <c r="F337" s="32"/>
    </row>
    <row r="338" ht="15.75" customHeight="1">
      <c r="A338" s="47"/>
      <c r="B338" s="32"/>
      <c r="C338" s="32"/>
      <c r="D338" s="32"/>
      <c r="E338" s="48"/>
      <c r="F338" s="32"/>
    </row>
    <row r="339" ht="15.75" customHeight="1">
      <c r="A339" s="47"/>
      <c r="B339" s="32"/>
      <c r="C339" s="32"/>
      <c r="D339" s="32"/>
      <c r="E339" s="48"/>
      <c r="F339" s="32"/>
    </row>
    <row r="340" ht="15.75" customHeight="1">
      <c r="A340" s="47"/>
      <c r="B340" s="32"/>
      <c r="C340" s="32"/>
      <c r="D340" s="32"/>
      <c r="E340" s="48"/>
      <c r="F340" s="32"/>
    </row>
    <row r="341" ht="15.75" customHeight="1">
      <c r="A341" s="47"/>
      <c r="B341" s="32"/>
      <c r="C341" s="32"/>
      <c r="D341" s="32"/>
      <c r="E341" s="48"/>
      <c r="F341" s="32"/>
    </row>
    <row r="342" ht="15.75" customHeight="1">
      <c r="A342" s="47"/>
      <c r="B342" s="32"/>
      <c r="C342" s="32"/>
      <c r="D342" s="32"/>
      <c r="E342" s="48"/>
      <c r="F342" s="32"/>
    </row>
    <row r="343" ht="15.75" customHeight="1">
      <c r="A343" s="47"/>
      <c r="B343" s="32"/>
      <c r="C343" s="32"/>
      <c r="D343" s="32"/>
      <c r="E343" s="48"/>
      <c r="F343" s="32"/>
    </row>
    <row r="344" ht="15.75" customHeight="1">
      <c r="A344" s="47"/>
      <c r="B344" s="32"/>
      <c r="C344" s="32"/>
      <c r="D344" s="32"/>
      <c r="E344" s="48"/>
      <c r="F344" s="32"/>
    </row>
    <row r="345" ht="15.75" customHeight="1">
      <c r="A345" s="47"/>
      <c r="B345" s="32"/>
      <c r="C345" s="32"/>
      <c r="D345" s="32"/>
      <c r="E345" s="48"/>
      <c r="F345" s="32"/>
    </row>
    <row r="346" ht="15.75" customHeight="1">
      <c r="A346" s="47"/>
      <c r="B346" s="32"/>
      <c r="C346" s="32"/>
      <c r="D346" s="32"/>
      <c r="E346" s="48"/>
      <c r="F346" s="32"/>
    </row>
    <row r="347" ht="15.75" customHeight="1">
      <c r="A347" s="47"/>
      <c r="B347" s="32"/>
      <c r="C347" s="32"/>
      <c r="D347" s="32"/>
      <c r="E347" s="48"/>
      <c r="F347" s="32"/>
    </row>
    <row r="348" ht="15.75" customHeight="1">
      <c r="A348" s="47"/>
      <c r="B348" s="32"/>
      <c r="C348" s="32"/>
      <c r="D348" s="32"/>
      <c r="E348" s="48"/>
      <c r="F348" s="32"/>
    </row>
    <row r="349" ht="15.75" customHeight="1">
      <c r="A349" s="47"/>
      <c r="B349" s="32"/>
      <c r="C349" s="32"/>
      <c r="D349" s="32"/>
      <c r="E349" s="48"/>
      <c r="F349" s="32"/>
    </row>
    <row r="350" ht="15.75" customHeight="1">
      <c r="A350" s="47"/>
      <c r="B350" s="32"/>
      <c r="C350" s="32"/>
      <c r="D350" s="32"/>
      <c r="E350" s="48"/>
      <c r="F350" s="32"/>
    </row>
    <row r="351" ht="15.75" customHeight="1">
      <c r="A351" s="47"/>
      <c r="B351" s="32"/>
      <c r="C351" s="32"/>
      <c r="D351" s="32"/>
      <c r="E351" s="48"/>
      <c r="F351" s="32"/>
    </row>
    <row r="352" ht="15.75" customHeight="1">
      <c r="A352" s="47"/>
      <c r="B352" s="32"/>
      <c r="C352" s="32"/>
      <c r="D352" s="32"/>
      <c r="E352" s="48"/>
      <c r="F352" s="32"/>
    </row>
    <row r="353" ht="15.75" customHeight="1">
      <c r="A353" s="47"/>
      <c r="B353" s="32"/>
      <c r="C353" s="32"/>
      <c r="D353" s="32"/>
      <c r="E353" s="48"/>
      <c r="F353" s="32"/>
    </row>
    <row r="354" ht="15.75" customHeight="1">
      <c r="A354" s="47"/>
      <c r="B354" s="32"/>
      <c r="C354" s="32"/>
      <c r="D354" s="32"/>
      <c r="E354" s="48"/>
      <c r="F354" s="32"/>
    </row>
    <row r="355" ht="15.75" customHeight="1">
      <c r="A355" s="47"/>
      <c r="B355" s="32"/>
      <c r="C355" s="32"/>
      <c r="D355" s="32"/>
      <c r="E355" s="48"/>
      <c r="F355" s="32"/>
    </row>
    <row r="356" ht="15.75" customHeight="1">
      <c r="A356" s="47"/>
      <c r="B356" s="32"/>
      <c r="C356" s="32"/>
      <c r="D356" s="32"/>
      <c r="E356" s="48"/>
      <c r="F356" s="32"/>
    </row>
    <row r="357" ht="15.75" customHeight="1">
      <c r="A357" s="47"/>
      <c r="B357" s="32"/>
      <c r="C357" s="32"/>
      <c r="D357" s="32"/>
      <c r="E357" s="48"/>
      <c r="F357" s="32"/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70.25"/>
    <col customWidth="1" min="3" max="3" width="11.13"/>
    <col customWidth="1" min="4" max="4" width="14.0"/>
    <col customWidth="1" min="5" max="5" width="14.63"/>
    <col customWidth="1" min="6" max="6" width="17.25"/>
    <col customWidth="1" min="7" max="7" width="17.75"/>
    <col customWidth="1" min="8" max="8" width="16.25"/>
    <col customWidth="1" min="9" max="9" width="17.0"/>
    <col customWidth="1" min="10" max="10" width="7.25"/>
    <col customWidth="1" min="11" max="11" width="5.63"/>
    <col customWidth="1" min="12" max="26" width="8.75"/>
  </cols>
  <sheetData>
    <row r="1">
      <c r="A1" s="44" t="s">
        <v>510</v>
      </c>
      <c r="B1" s="44" t="s">
        <v>511</v>
      </c>
      <c r="C1" s="44" t="s">
        <v>29</v>
      </c>
      <c r="D1" s="44" t="s">
        <v>512</v>
      </c>
      <c r="E1" s="44" t="s">
        <v>513</v>
      </c>
      <c r="F1" s="44" t="s">
        <v>514</v>
      </c>
      <c r="G1" s="44" t="s">
        <v>515</v>
      </c>
      <c r="H1" s="44" t="s">
        <v>516</v>
      </c>
      <c r="I1" s="44" t="s">
        <v>517</v>
      </c>
      <c r="J1" s="44" t="s">
        <v>509</v>
      </c>
      <c r="K1" s="44" t="s">
        <v>4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9"/>
      <c r="AB1" s="49"/>
      <c r="AC1" s="49"/>
      <c r="AD1" s="49"/>
      <c r="AE1" s="49"/>
    </row>
    <row r="2">
      <c r="A2" s="50">
        <v>46175.0</v>
      </c>
      <c r="B2" s="51" t="s">
        <v>17</v>
      </c>
      <c r="C2" s="52">
        <v>102809.0</v>
      </c>
      <c r="D2" s="52">
        <v>25782.0</v>
      </c>
      <c r="E2" s="52">
        <v>68443.0</v>
      </c>
      <c r="F2" s="52">
        <v>33933.0</v>
      </c>
      <c r="G2" s="52">
        <v>10007.0</v>
      </c>
      <c r="H2" s="52">
        <v>28097.0</v>
      </c>
      <c r="I2" s="52">
        <v>9362.0</v>
      </c>
      <c r="J2" s="53">
        <v>46182.82903579861</v>
      </c>
      <c r="K2" s="54" t="s">
        <v>518</v>
      </c>
    </row>
    <row r="3">
      <c r="A3" s="50">
        <v>46168.0</v>
      </c>
      <c r="B3" s="51" t="s">
        <v>17</v>
      </c>
      <c r="C3" s="52">
        <v>18145.0</v>
      </c>
      <c r="D3" s="52">
        <v>0.0</v>
      </c>
      <c r="E3" s="52">
        <v>0.0</v>
      </c>
      <c r="F3" s="52">
        <v>6478.0</v>
      </c>
      <c r="G3" s="52">
        <v>7181.0</v>
      </c>
      <c r="H3" s="52">
        <v>10231.0</v>
      </c>
      <c r="I3" s="52">
        <v>9528.0</v>
      </c>
      <c r="J3" s="53">
        <v>46182.82903579861</v>
      </c>
      <c r="K3" s="54" t="s">
        <v>519</v>
      </c>
    </row>
    <row r="4">
      <c r="A4" s="50">
        <v>46168.0</v>
      </c>
      <c r="B4" s="51" t="s">
        <v>17</v>
      </c>
      <c r="C4" s="52">
        <v>101744.0</v>
      </c>
      <c r="D4" s="52">
        <v>27605.0</v>
      </c>
      <c r="E4" s="52">
        <v>68498.0</v>
      </c>
      <c r="F4" s="52">
        <v>32758.0</v>
      </c>
      <c r="G4" s="52">
        <v>10535.0</v>
      </c>
      <c r="H4" s="52">
        <v>27301.0</v>
      </c>
      <c r="I4" s="52">
        <v>8631.0</v>
      </c>
      <c r="J4" s="53">
        <v>46182.82903579861</v>
      </c>
      <c r="K4" s="54" t="s">
        <v>518</v>
      </c>
    </row>
    <row r="5">
      <c r="A5" s="50">
        <v>46161.0</v>
      </c>
      <c r="B5" s="51" t="s">
        <v>17</v>
      </c>
      <c r="C5" s="52">
        <v>100751.0</v>
      </c>
      <c r="D5" s="52">
        <v>27108.0</v>
      </c>
      <c r="E5" s="52">
        <v>69776.0</v>
      </c>
      <c r="F5" s="52">
        <v>34591.0</v>
      </c>
      <c r="G5" s="52">
        <v>9920.0</v>
      </c>
      <c r="H5" s="52">
        <v>26423.0</v>
      </c>
      <c r="I5" s="52">
        <v>8426.0</v>
      </c>
      <c r="J5" s="53">
        <v>46182.82903579861</v>
      </c>
      <c r="K5" s="54" t="s">
        <v>518</v>
      </c>
    </row>
    <row r="6">
      <c r="A6" s="50">
        <v>46154.0</v>
      </c>
      <c r="B6" s="51" t="s">
        <v>17</v>
      </c>
      <c r="C6" s="52">
        <v>103800.0</v>
      </c>
      <c r="D6" s="52">
        <v>27341.0</v>
      </c>
      <c r="E6" s="52">
        <v>70987.0</v>
      </c>
      <c r="F6" s="52">
        <v>36569.0</v>
      </c>
      <c r="G6" s="52">
        <v>10458.0</v>
      </c>
      <c r="H6" s="52">
        <v>27802.0</v>
      </c>
      <c r="I6" s="52">
        <v>10267.0</v>
      </c>
      <c r="J6" s="53">
        <v>46182.82903579861</v>
      </c>
      <c r="K6" s="54" t="s">
        <v>518</v>
      </c>
    </row>
    <row r="7">
      <c r="A7" s="50">
        <v>46147.0</v>
      </c>
      <c r="B7" s="51" t="s">
        <v>17</v>
      </c>
      <c r="C7" s="52">
        <v>96932.0</v>
      </c>
      <c r="D7" s="52">
        <v>26094.0</v>
      </c>
      <c r="E7" s="52">
        <v>66629.0</v>
      </c>
      <c r="F7" s="52">
        <v>32965.0</v>
      </c>
      <c r="G7" s="52">
        <v>9073.0</v>
      </c>
      <c r="H7" s="52">
        <v>25811.0</v>
      </c>
      <c r="I7" s="52">
        <v>9168.0</v>
      </c>
      <c r="J7" s="53">
        <v>46182.82903579861</v>
      </c>
      <c r="K7" s="54" t="s">
        <v>518</v>
      </c>
    </row>
    <row r="8">
      <c r="A8" s="50">
        <v>46140.0</v>
      </c>
      <c r="B8" s="51" t="s">
        <v>17</v>
      </c>
      <c r="C8" s="52">
        <v>101275.0</v>
      </c>
      <c r="D8" s="52">
        <v>29676.0</v>
      </c>
      <c r="E8" s="52">
        <v>70128.0</v>
      </c>
      <c r="F8" s="52">
        <v>31314.0</v>
      </c>
      <c r="G8" s="52">
        <v>7154.0</v>
      </c>
      <c r="H8" s="52">
        <v>25462.0</v>
      </c>
      <c r="I8" s="52">
        <v>9170.0</v>
      </c>
      <c r="J8" s="53">
        <v>46182.82903579861</v>
      </c>
      <c r="K8" s="54" t="s">
        <v>518</v>
      </c>
    </row>
    <row r="9">
      <c r="A9" s="50">
        <v>46133.0</v>
      </c>
      <c r="B9" s="51" t="s">
        <v>17</v>
      </c>
      <c r="C9" s="52">
        <v>115462.0</v>
      </c>
      <c r="D9" s="52">
        <v>32357.0</v>
      </c>
      <c r="E9" s="52">
        <v>73342.0</v>
      </c>
      <c r="F9" s="52">
        <v>33233.0</v>
      </c>
      <c r="G9" s="52">
        <v>9513.0</v>
      </c>
      <c r="H9" s="52">
        <v>26253.0</v>
      </c>
      <c r="I9" s="52">
        <v>8988.0</v>
      </c>
      <c r="J9" s="53">
        <v>46182.82903579861</v>
      </c>
      <c r="K9" s="54" t="s">
        <v>518</v>
      </c>
    </row>
    <row r="10">
      <c r="A10" s="50">
        <v>46126.0</v>
      </c>
      <c r="B10" s="51" t="s">
        <v>17</v>
      </c>
      <c r="C10" s="52">
        <v>116983.0</v>
      </c>
      <c r="D10" s="52">
        <v>32338.0</v>
      </c>
      <c r="E10" s="52">
        <v>72471.0</v>
      </c>
      <c r="F10" s="52">
        <v>32391.0</v>
      </c>
      <c r="G10" s="52">
        <v>8829.0</v>
      </c>
      <c r="H10" s="52">
        <v>25765.0</v>
      </c>
      <c r="I10" s="52">
        <v>9194.0</v>
      </c>
      <c r="J10" s="53">
        <v>46182.82903579861</v>
      </c>
      <c r="K10" s="54" t="s">
        <v>518</v>
      </c>
    </row>
    <row r="11">
      <c r="A11" s="50">
        <v>46119.0</v>
      </c>
      <c r="B11" s="51" t="s">
        <v>17</v>
      </c>
      <c r="C11" s="52">
        <v>115138.0</v>
      </c>
      <c r="D11" s="52">
        <v>28211.0</v>
      </c>
      <c r="E11" s="52">
        <v>67126.0</v>
      </c>
      <c r="F11" s="52">
        <v>32810.0</v>
      </c>
      <c r="G11" s="52">
        <v>9393.0</v>
      </c>
      <c r="H11" s="52">
        <v>24908.0</v>
      </c>
      <c r="I11" s="52">
        <v>9410.0</v>
      </c>
      <c r="J11" s="53">
        <v>46182.82903579861</v>
      </c>
      <c r="K11" s="54" t="s">
        <v>518</v>
      </c>
    </row>
    <row r="12">
      <c r="A12" s="50">
        <v>46112.0</v>
      </c>
      <c r="B12" s="51" t="s">
        <v>17</v>
      </c>
      <c r="C12" s="52">
        <v>115169.0</v>
      </c>
      <c r="D12" s="52">
        <v>29892.0</v>
      </c>
      <c r="E12" s="52">
        <v>68749.0</v>
      </c>
      <c r="F12" s="52">
        <v>33463.0</v>
      </c>
      <c r="G12" s="52">
        <v>9559.0</v>
      </c>
      <c r="H12" s="52">
        <v>24465.0</v>
      </c>
      <c r="I12" s="52">
        <v>9512.0</v>
      </c>
      <c r="J12" s="53">
        <v>46182.82903579861</v>
      </c>
      <c r="K12" s="54" t="s">
        <v>518</v>
      </c>
    </row>
    <row r="13">
      <c r="A13" s="50">
        <v>46105.0</v>
      </c>
      <c r="B13" s="51" t="s">
        <v>17</v>
      </c>
      <c r="C13" s="52">
        <v>113164.0</v>
      </c>
      <c r="D13" s="52">
        <v>29511.0</v>
      </c>
      <c r="E13" s="52">
        <v>69799.0</v>
      </c>
      <c r="F13" s="52">
        <v>33938.0</v>
      </c>
      <c r="G13" s="52">
        <v>9265.0</v>
      </c>
      <c r="H13" s="52">
        <v>24555.0</v>
      </c>
      <c r="I13" s="52">
        <v>8940.0</v>
      </c>
      <c r="J13" s="53">
        <v>46182.82903579861</v>
      </c>
      <c r="K13" s="54" t="s">
        <v>518</v>
      </c>
    </row>
    <row r="14">
      <c r="A14" s="50">
        <v>46098.0</v>
      </c>
      <c r="B14" s="51" t="s">
        <v>17</v>
      </c>
      <c r="C14" s="52">
        <v>114758.0</v>
      </c>
      <c r="D14" s="52">
        <v>31938.0</v>
      </c>
      <c r="E14" s="52">
        <v>70296.0</v>
      </c>
      <c r="F14" s="52">
        <v>31125.0</v>
      </c>
      <c r="G14" s="52">
        <v>9244.0</v>
      </c>
      <c r="H14" s="52">
        <v>26297.0</v>
      </c>
      <c r="I14" s="52">
        <v>9820.0</v>
      </c>
      <c r="J14" s="53">
        <v>46182.82903579861</v>
      </c>
      <c r="K14" s="54" t="s">
        <v>518</v>
      </c>
    </row>
    <row r="15">
      <c r="A15" s="50">
        <v>46091.0</v>
      </c>
      <c r="B15" s="51" t="s">
        <v>17</v>
      </c>
      <c r="C15" s="52">
        <v>115458.0</v>
      </c>
      <c r="D15" s="52">
        <v>31789.0</v>
      </c>
      <c r="E15" s="52">
        <v>73366.0</v>
      </c>
      <c r="F15" s="52">
        <v>33306.0</v>
      </c>
      <c r="G15" s="52">
        <v>8728.0</v>
      </c>
      <c r="H15" s="52">
        <v>26719.0</v>
      </c>
      <c r="I15" s="52">
        <v>9720.0</v>
      </c>
      <c r="J15" s="53">
        <v>46182.82903579861</v>
      </c>
      <c r="K15" s="54" t="s">
        <v>518</v>
      </c>
    </row>
    <row r="16">
      <c r="A16" s="50">
        <v>46084.0</v>
      </c>
      <c r="B16" s="51" t="s">
        <v>17</v>
      </c>
      <c r="C16" s="52">
        <v>113326.0</v>
      </c>
      <c r="D16" s="52">
        <v>30893.0</v>
      </c>
      <c r="E16" s="52">
        <v>70859.0</v>
      </c>
      <c r="F16" s="52">
        <v>34226.0</v>
      </c>
      <c r="G16" s="52">
        <v>10888.0</v>
      </c>
      <c r="H16" s="52">
        <v>26079.0</v>
      </c>
      <c r="I16" s="52">
        <v>9451.0</v>
      </c>
      <c r="J16" s="53">
        <v>46182.82903579861</v>
      </c>
      <c r="K16" s="54" t="s">
        <v>518</v>
      </c>
    </row>
    <row r="17">
      <c r="A17" s="50">
        <v>46077.0</v>
      </c>
      <c r="B17" s="51" t="s">
        <v>17</v>
      </c>
      <c r="C17" s="52">
        <v>125454.0</v>
      </c>
      <c r="D17" s="52">
        <v>35475.0</v>
      </c>
      <c r="E17" s="52">
        <v>76555.0</v>
      </c>
      <c r="F17" s="52">
        <v>32500.0</v>
      </c>
      <c r="G17" s="52">
        <v>10240.0</v>
      </c>
      <c r="H17" s="52">
        <v>30190.0</v>
      </c>
      <c r="I17" s="52">
        <v>11370.0</v>
      </c>
      <c r="J17" s="53">
        <v>46182.82903579861</v>
      </c>
      <c r="K17" s="54" t="s">
        <v>518</v>
      </c>
    </row>
    <row r="18">
      <c r="A18" s="50">
        <v>46070.0</v>
      </c>
      <c r="B18" s="51" t="s">
        <v>17</v>
      </c>
      <c r="C18" s="52">
        <v>32255.0</v>
      </c>
      <c r="D18" s="52">
        <v>0.0</v>
      </c>
      <c r="E18" s="52">
        <v>0.0</v>
      </c>
      <c r="F18" s="52">
        <v>12059.0</v>
      </c>
      <c r="G18" s="52">
        <v>26027.0</v>
      </c>
      <c r="H18" s="52">
        <v>17609.0</v>
      </c>
      <c r="I18" s="52">
        <v>3641.0</v>
      </c>
      <c r="J18" s="53">
        <v>46182.82903579861</v>
      </c>
      <c r="K18" s="54" t="s">
        <v>519</v>
      </c>
    </row>
    <row r="19">
      <c r="A19" s="50">
        <v>46070.0</v>
      </c>
      <c r="B19" s="51" t="s">
        <v>17</v>
      </c>
      <c r="C19" s="52">
        <v>131496.0</v>
      </c>
      <c r="D19" s="52">
        <v>36729.0</v>
      </c>
      <c r="E19" s="52">
        <v>79076.0</v>
      </c>
      <c r="F19" s="52">
        <v>36626.0</v>
      </c>
      <c r="G19" s="52">
        <v>12623.0</v>
      </c>
      <c r="H19" s="52">
        <v>28514.0</v>
      </c>
      <c r="I19" s="52">
        <v>10170.0</v>
      </c>
      <c r="J19" s="53">
        <v>46182.82903579861</v>
      </c>
      <c r="K19" s="54" t="s">
        <v>518</v>
      </c>
    </row>
    <row r="20">
      <c r="A20" s="50">
        <v>46063.0</v>
      </c>
      <c r="B20" s="51" t="s">
        <v>17</v>
      </c>
      <c r="C20" s="52">
        <v>133641.0</v>
      </c>
      <c r="D20" s="52">
        <v>37295.0</v>
      </c>
      <c r="E20" s="52">
        <v>79458.0</v>
      </c>
      <c r="F20" s="52">
        <v>36660.0</v>
      </c>
      <c r="G20" s="52">
        <v>13705.0</v>
      </c>
      <c r="H20" s="52">
        <v>29843.0</v>
      </c>
      <c r="I20" s="52">
        <v>10635.0</v>
      </c>
      <c r="J20" s="53">
        <v>46182.82903579861</v>
      </c>
      <c r="K20" s="54" t="s">
        <v>518</v>
      </c>
    </row>
    <row r="21" ht="15.75" customHeight="1">
      <c r="A21" s="50">
        <v>46056.0</v>
      </c>
      <c r="B21" s="51" t="s">
        <v>17</v>
      </c>
      <c r="C21" s="52">
        <v>143180.0</v>
      </c>
      <c r="D21" s="52">
        <v>35248.0</v>
      </c>
      <c r="E21" s="52">
        <v>80973.0</v>
      </c>
      <c r="F21" s="52">
        <v>38883.0</v>
      </c>
      <c r="G21" s="52">
        <v>13006.0</v>
      </c>
      <c r="H21" s="52">
        <v>32469.0</v>
      </c>
      <c r="I21" s="52">
        <v>12621.0</v>
      </c>
      <c r="J21" s="53">
        <v>46182.82903579861</v>
      </c>
      <c r="K21" s="54" t="s">
        <v>518</v>
      </c>
    </row>
    <row r="22" ht="15.75" customHeight="1">
      <c r="A22" s="50">
        <v>46056.0</v>
      </c>
      <c r="B22" s="51" t="s">
        <v>17</v>
      </c>
      <c r="C22" s="52">
        <v>32004.0</v>
      </c>
      <c r="D22" s="52">
        <v>0.0</v>
      </c>
      <c r="E22" s="52">
        <v>0.0</v>
      </c>
      <c r="F22" s="52">
        <v>10989.0</v>
      </c>
      <c r="G22" s="52">
        <v>26336.0</v>
      </c>
      <c r="H22" s="52">
        <v>18745.0</v>
      </c>
      <c r="I22" s="52">
        <v>3398.0</v>
      </c>
      <c r="J22" s="53">
        <v>46182.82903579861</v>
      </c>
      <c r="K22" s="54" t="s">
        <v>519</v>
      </c>
    </row>
    <row r="23" ht="15.75" customHeight="1">
      <c r="A23" s="50">
        <v>46049.0</v>
      </c>
      <c r="B23" s="51" t="s">
        <v>17</v>
      </c>
      <c r="C23" s="52">
        <v>156637.0</v>
      </c>
      <c r="D23" s="52">
        <v>44788.0</v>
      </c>
      <c r="E23" s="52">
        <v>88844.0</v>
      </c>
      <c r="F23" s="52">
        <v>43475.0</v>
      </c>
      <c r="G23" s="52">
        <v>19772.0</v>
      </c>
      <c r="H23" s="52">
        <v>34444.0</v>
      </c>
      <c r="I23" s="52">
        <v>14091.0</v>
      </c>
      <c r="J23" s="53">
        <v>46182.82903579861</v>
      </c>
      <c r="K23" s="54" t="s">
        <v>518</v>
      </c>
    </row>
    <row r="24" ht="15.75" customHeight="1">
      <c r="A24" s="50">
        <v>46049.0</v>
      </c>
      <c r="B24" s="51" t="s">
        <v>17</v>
      </c>
      <c r="C24" s="52">
        <v>36204.0</v>
      </c>
      <c r="D24" s="52">
        <v>239.0</v>
      </c>
      <c r="E24" s="52">
        <v>0.0</v>
      </c>
      <c r="F24" s="52">
        <v>11816.0</v>
      </c>
      <c r="G24" s="52">
        <v>26769.0</v>
      </c>
      <c r="H24" s="52">
        <v>22328.0</v>
      </c>
      <c r="I24" s="52">
        <v>7614.0</v>
      </c>
      <c r="J24" s="53">
        <v>46182.82903579861</v>
      </c>
      <c r="K24" s="54" t="s">
        <v>519</v>
      </c>
    </row>
    <row r="25" ht="15.75" customHeight="1">
      <c r="A25" s="50">
        <v>46042.0</v>
      </c>
      <c r="B25" s="51" t="s">
        <v>17</v>
      </c>
      <c r="C25" s="52">
        <v>152020.0</v>
      </c>
      <c r="D25" s="52">
        <v>43723.0</v>
      </c>
      <c r="E25" s="52">
        <v>90112.0</v>
      </c>
      <c r="F25" s="52">
        <v>42965.0</v>
      </c>
      <c r="G25" s="52">
        <v>17751.0</v>
      </c>
      <c r="H25" s="52">
        <v>35608.0</v>
      </c>
      <c r="I25" s="52">
        <v>14433.0</v>
      </c>
      <c r="J25" s="55">
        <v>46182.82903579861</v>
      </c>
      <c r="K25" s="54" t="s">
        <v>518</v>
      </c>
    </row>
    <row r="26" ht="15.75" customHeight="1">
      <c r="A26" s="50">
        <v>46035.0</v>
      </c>
      <c r="B26" s="51" t="s">
        <v>17</v>
      </c>
      <c r="C26" s="52">
        <v>24032.0</v>
      </c>
      <c r="D26" s="52">
        <v>0.0</v>
      </c>
      <c r="E26" s="52">
        <v>0.0</v>
      </c>
      <c r="F26" s="52">
        <v>10390.0</v>
      </c>
      <c r="G26" s="52">
        <v>13832.0</v>
      </c>
      <c r="H26" s="52">
        <v>12643.0</v>
      </c>
      <c r="I26" s="52">
        <v>9201.0</v>
      </c>
      <c r="J26" s="55">
        <v>46182.82903579861</v>
      </c>
      <c r="K26" s="54" t="s">
        <v>519</v>
      </c>
    </row>
    <row r="27" ht="15.75" customHeight="1">
      <c r="A27" s="50">
        <v>46035.0</v>
      </c>
      <c r="B27" s="51" t="s">
        <v>17</v>
      </c>
      <c r="C27" s="52">
        <v>151513.0</v>
      </c>
      <c r="D27" s="52">
        <v>42595.0</v>
      </c>
      <c r="E27" s="52">
        <v>97887.0</v>
      </c>
      <c r="F27" s="52">
        <v>47337.0</v>
      </c>
      <c r="G27" s="52">
        <v>15277.0</v>
      </c>
      <c r="H27" s="52">
        <v>35516.0</v>
      </c>
      <c r="I27" s="52">
        <v>12284.0</v>
      </c>
      <c r="J27" s="55">
        <v>46182.82903579861</v>
      </c>
      <c r="K27" s="54" t="s">
        <v>518</v>
      </c>
    </row>
    <row r="28" ht="15.75" customHeight="1">
      <c r="A28" s="50">
        <v>46028.0</v>
      </c>
      <c r="B28" s="51" t="s">
        <v>17</v>
      </c>
      <c r="C28" s="52">
        <v>153240.0</v>
      </c>
      <c r="D28" s="52">
        <v>47989.0</v>
      </c>
      <c r="E28" s="52">
        <v>99680.0</v>
      </c>
      <c r="F28" s="52">
        <v>47384.0</v>
      </c>
      <c r="G28" s="52">
        <v>18113.0</v>
      </c>
      <c r="H28" s="52">
        <v>33815.0</v>
      </c>
      <c r="I28" s="52">
        <v>11395.0</v>
      </c>
      <c r="J28" s="55">
        <v>46182.82903579861</v>
      </c>
      <c r="K28" s="54" t="s">
        <v>518</v>
      </c>
    </row>
    <row r="29" ht="15.75" customHeight="1">
      <c r="A29" s="50">
        <v>46021.0</v>
      </c>
      <c r="B29" s="51" t="s">
        <v>17</v>
      </c>
      <c r="C29" s="52">
        <v>157391.0</v>
      </c>
      <c r="D29" s="52">
        <v>50323.0</v>
      </c>
      <c r="E29" s="52">
        <v>100585.0</v>
      </c>
      <c r="F29" s="52">
        <v>50506.0</v>
      </c>
      <c r="G29" s="52">
        <v>20443.0</v>
      </c>
      <c r="H29" s="52">
        <v>31855.0</v>
      </c>
      <c r="I29" s="52">
        <v>11656.0</v>
      </c>
      <c r="J29" s="55">
        <v>46182.82903579861</v>
      </c>
      <c r="K29" s="54" t="s">
        <v>518</v>
      </c>
    </row>
    <row r="30" ht="15.75" customHeight="1">
      <c r="A30" s="50">
        <v>46014.0</v>
      </c>
      <c r="B30" s="51" t="s">
        <v>17</v>
      </c>
      <c r="C30" s="52">
        <v>155710.0</v>
      </c>
      <c r="D30" s="52">
        <v>46775.0</v>
      </c>
      <c r="E30" s="52">
        <v>101042.0</v>
      </c>
      <c r="F30" s="52">
        <v>55243.0</v>
      </c>
      <c r="G30" s="52">
        <v>19359.0</v>
      </c>
      <c r="H30" s="52">
        <v>31956.0</v>
      </c>
      <c r="I30" s="52">
        <v>13573.0</v>
      </c>
      <c r="J30" s="55">
        <v>46182.82903579861</v>
      </c>
      <c r="K30" s="54" t="s">
        <v>518</v>
      </c>
    </row>
    <row r="31" ht="15.75" customHeight="1">
      <c r="A31" s="50">
        <v>46007.0</v>
      </c>
      <c r="B31" s="51" t="s">
        <v>17</v>
      </c>
      <c r="C31" s="52">
        <v>152921.0</v>
      </c>
      <c r="D31" s="52">
        <v>45998.0</v>
      </c>
      <c r="E31" s="52">
        <v>101189.0</v>
      </c>
      <c r="F31" s="52">
        <v>56034.0</v>
      </c>
      <c r="G31" s="52">
        <v>19682.0</v>
      </c>
      <c r="H31" s="52">
        <v>31271.0</v>
      </c>
      <c r="I31" s="52">
        <v>12432.0</v>
      </c>
      <c r="J31" s="55">
        <v>46182.82903579861</v>
      </c>
      <c r="K31" s="54" t="s">
        <v>518</v>
      </c>
    </row>
    <row r="32" ht="15.75" customHeight="1">
      <c r="A32" s="50">
        <v>46175.0</v>
      </c>
      <c r="B32" s="51" t="s">
        <v>117</v>
      </c>
      <c r="C32" s="52">
        <v>77429.0</v>
      </c>
      <c r="D32" s="52">
        <v>60303.0</v>
      </c>
      <c r="E32" s="52">
        <v>75275.0</v>
      </c>
      <c r="F32" s="52">
        <v>13352.0</v>
      </c>
      <c r="G32" s="52">
        <v>1303.0</v>
      </c>
      <c r="H32" s="52">
        <v>3774.0</v>
      </c>
      <c r="I32" s="52">
        <v>851.0</v>
      </c>
      <c r="J32" s="55">
        <v>46182.82903579861</v>
      </c>
      <c r="K32" s="54" t="s">
        <v>520</v>
      </c>
    </row>
    <row r="33" ht="15.75" customHeight="1">
      <c r="A33" s="50">
        <v>46168.0</v>
      </c>
      <c r="B33" s="51" t="s">
        <v>117</v>
      </c>
      <c r="C33" s="52">
        <v>78884.0</v>
      </c>
      <c r="D33" s="52">
        <v>61063.0</v>
      </c>
      <c r="E33" s="52">
        <v>74837.0</v>
      </c>
      <c r="F33" s="52">
        <v>13880.0</v>
      </c>
      <c r="G33" s="52">
        <v>3770.0</v>
      </c>
      <c r="H33" s="52">
        <v>3941.0</v>
      </c>
      <c r="I33" s="52">
        <v>277.0</v>
      </c>
      <c r="J33" s="55">
        <v>46182.82903579861</v>
      </c>
      <c r="K33" s="54" t="s">
        <v>520</v>
      </c>
    </row>
    <row r="34" ht="15.75" customHeight="1">
      <c r="A34" s="50">
        <v>46161.0</v>
      </c>
      <c r="B34" s="51" t="s">
        <v>117</v>
      </c>
      <c r="C34" s="52">
        <v>74167.0</v>
      </c>
      <c r="D34" s="52">
        <v>57654.0</v>
      </c>
      <c r="E34" s="52">
        <v>71902.0</v>
      </c>
      <c r="F34" s="52">
        <v>13237.0</v>
      </c>
      <c r="G34" s="52">
        <v>1446.0</v>
      </c>
      <c r="H34" s="52">
        <v>3276.0</v>
      </c>
      <c r="I34" s="52">
        <v>819.0</v>
      </c>
      <c r="J34" s="55">
        <v>46182.82903579861</v>
      </c>
      <c r="K34" s="54" t="s">
        <v>520</v>
      </c>
    </row>
    <row r="35" ht="15.75" customHeight="1">
      <c r="A35" s="50">
        <v>46154.0</v>
      </c>
      <c r="B35" s="51" t="s">
        <v>117</v>
      </c>
      <c r="C35" s="52">
        <v>72470.0</v>
      </c>
      <c r="D35" s="52">
        <v>58295.0</v>
      </c>
      <c r="E35" s="52">
        <v>70829.0</v>
      </c>
      <c r="F35" s="52">
        <v>10843.0</v>
      </c>
      <c r="G35" s="52">
        <v>801.0</v>
      </c>
      <c r="H35" s="52">
        <v>3332.0</v>
      </c>
      <c r="I35" s="52">
        <v>840.0</v>
      </c>
      <c r="J35" s="55">
        <v>46182.82903579861</v>
      </c>
      <c r="K35" s="54" t="s">
        <v>520</v>
      </c>
    </row>
    <row r="36" ht="15.75" customHeight="1">
      <c r="A36" s="50">
        <v>46147.0</v>
      </c>
      <c r="B36" s="51" t="s">
        <v>117</v>
      </c>
      <c r="C36" s="52">
        <v>70868.0</v>
      </c>
      <c r="D36" s="52">
        <v>58301.0</v>
      </c>
      <c r="E36" s="52">
        <v>67645.0</v>
      </c>
      <c r="F36" s="52">
        <v>8682.0</v>
      </c>
      <c r="G36" s="52">
        <v>2470.0</v>
      </c>
      <c r="H36" s="52">
        <v>3724.0</v>
      </c>
      <c r="I36" s="52">
        <v>592.0</v>
      </c>
      <c r="J36" s="55">
        <v>46182.82903579861</v>
      </c>
      <c r="K36" s="54" t="s">
        <v>520</v>
      </c>
    </row>
    <row r="37" ht="15.75" customHeight="1">
      <c r="A37" s="50">
        <v>46140.0</v>
      </c>
      <c r="B37" s="51" t="s">
        <v>117</v>
      </c>
      <c r="C37" s="52">
        <v>69381.0</v>
      </c>
      <c r="D37" s="52">
        <v>56683.0</v>
      </c>
      <c r="E37" s="52">
        <v>66565.0</v>
      </c>
      <c r="F37" s="52">
        <v>8967.0</v>
      </c>
      <c r="G37" s="52">
        <v>2169.0</v>
      </c>
      <c r="H37" s="52">
        <v>3731.0</v>
      </c>
      <c r="I37" s="52">
        <v>647.0</v>
      </c>
      <c r="J37" s="55">
        <v>46182.82903579861</v>
      </c>
      <c r="K37" s="54" t="s">
        <v>520</v>
      </c>
    </row>
    <row r="38" ht="15.75" customHeight="1">
      <c r="A38" s="50">
        <v>46133.0</v>
      </c>
      <c r="B38" s="51" t="s">
        <v>117</v>
      </c>
      <c r="C38" s="52">
        <v>71092.0</v>
      </c>
      <c r="D38" s="52">
        <v>56067.0</v>
      </c>
      <c r="E38" s="52">
        <v>67852.0</v>
      </c>
      <c r="F38" s="52">
        <v>11193.0</v>
      </c>
      <c r="G38" s="52">
        <v>1838.0</v>
      </c>
      <c r="H38" s="52">
        <v>3832.0</v>
      </c>
      <c r="I38" s="52">
        <v>1402.0</v>
      </c>
      <c r="J38" s="55">
        <v>46182.82903579861</v>
      </c>
      <c r="K38" s="54" t="s">
        <v>520</v>
      </c>
    </row>
    <row r="39" ht="15.75" customHeight="1">
      <c r="A39" s="50">
        <v>46126.0</v>
      </c>
      <c r="B39" s="51" t="s">
        <v>117</v>
      </c>
      <c r="C39" s="52">
        <v>76377.0</v>
      </c>
      <c r="D39" s="52">
        <v>59072.0</v>
      </c>
      <c r="E39" s="52">
        <v>72461.0</v>
      </c>
      <c r="F39" s="52">
        <v>13345.0</v>
      </c>
      <c r="G39" s="52">
        <v>3173.0</v>
      </c>
      <c r="H39" s="52">
        <v>3960.0</v>
      </c>
      <c r="I39" s="52">
        <v>743.0</v>
      </c>
      <c r="J39" s="55">
        <v>46182.82903579861</v>
      </c>
      <c r="K39" s="54" t="s">
        <v>520</v>
      </c>
    </row>
    <row r="40" ht="15.75" customHeight="1">
      <c r="A40" s="50">
        <v>46119.0</v>
      </c>
      <c r="B40" s="51" t="s">
        <v>117</v>
      </c>
      <c r="C40" s="52">
        <v>76173.0</v>
      </c>
      <c r="D40" s="52">
        <v>59924.0</v>
      </c>
      <c r="E40" s="52">
        <v>70040.0</v>
      </c>
      <c r="F40" s="52">
        <v>12935.0</v>
      </c>
      <c r="G40" s="52">
        <v>5197.0</v>
      </c>
      <c r="H40" s="52">
        <v>3314.0</v>
      </c>
      <c r="I40" s="52">
        <v>936.0</v>
      </c>
      <c r="J40" s="55">
        <v>46182.82903579861</v>
      </c>
      <c r="K40" s="54" t="s">
        <v>520</v>
      </c>
    </row>
    <row r="41" ht="15.75" customHeight="1">
      <c r="A41" s="50">
        <v>46112.0</v>
      </c>
      <c r="B41" s="51" t="s">
        <v>117</v>
      </c>
      <c r="C41" s="52">
        <v>74836.0</v>
      </c>
      <c r="D41" s="52">
        <v>60868.0</v>
      </c>
      <c r="E41" s="52">
        <v>68869.0</v>
      </c>
      <c r="F41" s="52">
        <v>10270.0</v>
      </c>
      <c r="G41" s="52">
        <v>4847.0</v>
      </c>
      <c r="H41" s="52">
        <v>3698.0</v>
      </c>
      <c r="I41" s="52">
        <v>1120.0</v>
      </c>
      <c r="J41" s="55">
        <v>46182.82903579861</v>
      </c>
      <c r="K41" s="54" t="s">
        <v>520</v>
      </c>
    </row>
    <row r="42" ht="15.75" customHeight="1">
      <c r="A42" s="50">
        <v>46105.0</v>
      </c>
      <c r="B42" s="51" t="s">
        <v>117</v>
      </c>
      <c r="C42" s="52">
        <v>66612.0</v>
      </c>
      <c r="D42" s="52">
        <v>57923.0</v>
      </c>
      <c r="E42" s="52">
        <v>61324.0</v>
      </c>
      <c r="F42" s="52">
        <v>5535.0</v>
      </c>
      <c r="G42" s="52">
        <v>4603.0</v>
      </c>
      <c r="H42" s="52">
        <v>3154.0</v>
      </c>
      <c r="I42" s="52">
        <v>685.0</v>
      </c>
      <c r="J42" s="55">
        <v>46182.82903579861</v>
      </c>
      <c r="K42" s="54" t="s">
        <v>520</v>
      </c>
    </row>
    <row r="43" ht="15.75" customHeight="1">
      <c r="A43" s="50">
        <v>46098.0</v>
      </c>
      <c r="B43" s="51" t="s">
        <v>117</v>
      </c>
      <c r="C43" s="52">
        <v>86405.0</v>
      </c>
      <c r="D43" s="52">
        <v>76185.0</v>
      </c>
      <c r="E43" s="52">
        <v>77208.0</v>
      </c>
      <c r="F43" s="52">
        <v>3249.0</v>
      </c>
      <c r="G43" s="52">
        <v>5642.0</v>
      </c>
      <c r="H43" s="52">
        <v>6865.0</v>
      </c>
      <c r="I43" s="52">
        <v>3449.0</v>
      </c>
      <c r="J43" s="55">
        <v>46182.82903579861</v>
      </c>
      <c r="K43" s="54" t="s">
        <v>520</v>
      </c>
    </row>
    <row r="44" ht="15.75" customHeight="1">
      <c r="A44" s="50">
        <v>46091.0</v>
      </c>
      <c r="B44" s="51" t="s">
        <v>117</v>
      </c>
      <c r="C44" s="52">
        <v>65449.0</v>
      </c>
      <c r="D44" s="52">
        <v>60088.0</v>
      </c>
      <c r="E44" s="52">
        <v>59533.0</v>
      </c>
      <c r="F44" s="52">
        <v>2172.0</v>
      </c>
      <c r="G44" s="52">
        <v>5205.0</v>
      </c>
      <c r="H44" s="52">
        <v>3189.0</v>
      </c>
      <c r="I44" s="52">
        <v>711.0</v>
      </c>
      <c r="J44" s="55">
        <v>46182.82903579861</v>
      </c>
      <c r="K44" s="54" t="s">
        <v>520</v>
      </c>
    </row>
    <row r="45" ht="15.75" customHeight="1">
      <c r="A45" s="50">
        <v>46084.0</v>
      </c>
      <c r="B45" s="51" t="s">
        <v>117</v>
      </c>
      <c r="C45" s="52">
        <v>69399.0</v>
      </c>
      <c r="D45" s="52">
        <v>64303.0</v>
      </c>
      <c r="E45" s="52">
        <v>63364.0</v>
      </c>
      <c r="F45" s="52">
        <v>1507.0</v>
      </c>
      <c r="G45" s="52">
        <v>4723.0</v>
      </c>
      <c r="H45" s="52">
        <v>3589.0</v>
      </c>
      <c r="I45" s="52">
        <v>1312.0</v>
      </c>
      <c r="J45" s="55">
        <v>46182.82903579861</v>
      </c>
      <c r="K45" s="54" t="s">
        <v>520</v>
      </c>
    </row>
    <row r="46" ht="15.75" customHeight="1">
      <c r="A46" s="50">
        <v>46077.0</v>
      </c>
      <c r="B46" s="51" t="s">
        <v>117</v>
      </c>
      <c r="C46" s="52">
        <v>69214.0</v>
      </c>
      <c r="D46" s="52">
        <v>61679.0</v>
      </c>
      <c r="E46" s="52">
        <v>63618.0</v>
      </c>
      <c r="F46" s="52">
        <v>3915.0</v>
      </c>
      <c r="G46" s="52">
        <v>4901.0</v>
      </c>
      <c r="H46" s="52">
        <v>3588.0</v>
      </c>
      <c r="I46" s="52">
        <v>663.0</v>
      </c>
      <c r="J46" s="55">
        <v>46182.82903579861</v>
      </c>
      <c r="K46" s="54" t="s">
        <v>520</v>
      </c>
    </row>
    <row r="47" ht="15.75" customHeight="1">
      <c r="A47" s="50">
        <v>46070.0</v>
      </c>
      <c r="B47" s="51" t="s">
        <v>117</v>
      </c>
      <c r="C47" s="52">
        <v>70684.0</v>
      </c>
      <c r="D47" s="52">
        <v>62831.0</v>
      </c>
      <c r="E47" s="52">
        <v>63940.0</v>
      </c>
      <c r="F47" s="52">
        <v>4613.0</v>
      </c>
      <c r="G47" s="52">
        <v>6050.0</v>
      </c>
      <c r="H47" s="52">
        <v>3195.0</v>
      </c>
      <c r="I47" s="52">
        <v>649.0</v>
      </c>
      <c r="J47" s="55">
        <v>46182.82903579861</v>
      </c>
      <c r="K47" s="54" t="s">
        <v>520</v>
      </c>
    </row>
    <row r="48" ht="15.75" customHeight="1">
      <c r="A48" s="50">
        <v>46063.0</v>
      </c>
      <c r="B48" s="51" t="s">
        <v>117</v>
      </c>
      <c r="C48" s="52">
        <v>69763.0</v>
      </c>
      <c r="D48" s="52">
        <v>62078.0</v>
      </c>
      <c r="E48" s="52">
        <v>64110.0</v>
      </c>
      <c r="F48" s="52">
        <v>3829.0</v>
      </c>
      <c r="G48" s="52">
        <v>4761.0</v>
      </c>
      <c r="H48" s="52">
        <v>3770.0</v>
      </c>
      <c r="I48" s="52">
        <v>806.0</v>
      </c>
      <c r="J48" s="55">
        <v>46182.82903579861</v>
      </c>
      <c r="K48" s="54" t="s">
        <v>520</v>
      </c>
    </row>
    <row r="49" ht="15.75" customHeight="1">
      <c r="A49" s="50">
        <v>46056.0</v>
      </c>
      <c r="B49" s="51" t="s">
        <v>117</v>
      </c>
      <c r="C49" s="52">
        <v>67668.0</v>
      </c>
      <c r="D49" s="52">
        <v>59390.0</v>
      </c>
      <c r="E49" s="52">
        <v>60150.0</v>
      </c>
      <c r="F49" s="52">
        <v>5019.0</v>
      </c>
      <c r="G49" s="52">
        <v>6706.0</v>
      </c>
      <c r="H49" s="52">
        <v>3167.0</v>
      </c>
      <c r="I49" s="52">
        <v>720.0</v>
      </c>
      <c r="J49" s="55">
        <v>46182.82903579861</v>
      </c>
      <c r="K49" s="54" t="s">
        <v>520</v>
      </c>
    </row>
    <row r="50" ht="15.75" customHeight="1">
      <c r="A50" s="50">
        <v>46049.0</v>
      </c>
      <c r="B50" s="51" t="s">
        <v>117</v>
      </c>
      <c r="C50" s="52">
        <v>67870.0</v>
      </c>
      <c r="D50" s="52">
        <v>60821.0</v>
      </c>
      <c r="E50" s="52">
        <v>60539.0</v>
      </c>
      <c r="F50" s="52">
        <v>3519.0</v>
      </c>
      <c r="G50" s="52">
        <v>6285.0</v>
      </c>
      <c r="H50" s="52">
        <v>3430.0</v>
      </c>
      <c r="I50" s="52">
        <v>946.0</v>
      </c>
      <c r="J50" s="55">
        <v>46182.82903579861</v>
      </c>
      <c r="K50" s="54" t="s">
        <v>520</v>
      </c>
    </row>
    <row r="51" ht="15.75" customHeight="1">
      <c r="A51" s="50">
        <v>46042.0</v>
      </c>
      <c r="B51" s="51" t="s">
        <v>117</v>
      </c>
      <c r="C51" s="52">
        <v>65496.0</v>
      </c>
      <c r="D51" s="52">
        <v>58401.0</v>
      </c>
      <c r="E51" s="52">
        <v>56220.0</v>
      </c>
      <c r="F51" s="52">
        <v>3814.0</v>
      </c>
      <c r="G51" s="52">
        <v>8051.0</v>
      </c>
      <c r="H51" s="52">
        <v>3281.0</v>
      </c>
      <c r="I51" s="52">
        <v>1225.0</v>
      </c>
      <c r="J51" s="55">
        <v>46182.82903579861</v>
      </c>
      <c r="K51" s="54" t="s">
        <v>520</v>
      </c>
    </row>
    <row r="52" ht="15.75" customHeight="1">
      <c r="A52" s="50">
        <v>46035.0</v>
      </c>
      <c r="B52" s="51" t="s">
        <v>117</v>
      </c>
      <c r="C52" s="52">
        <v>65761.0</v>
      </c>
      <c r="D52" s="52">
        <v>61047.0</v>
      </c>
      <c r="E52" s="52">
        <v>55245.0</v>
      </c>
      <c r="F52" s="52">
        <v>1399.0</v>
      </c>
      <c r="G52" s="52">
        <v>9597.0</v>
      </c>
      <c r="H52" s="52">
        <v>3315.0</v>
      </c>
      <c r="I52" s="52">
        <v>919.0</v>
      </c>
      <c r="J52" s="55">
        <v>46182.82903579861</v>
      </c>
      <c r="K52" s="54" t="s">
        <v>520</v>
      </c>
    </row>
    <row r="53" ht="15.75" customHeight="1">
      <c r="A53" s="50">
        <v>46028.0</v>
      </c>
      <c r="B53" s="51" t="s">
        <v>117</v>
      </c>
      <c r="C53" s="52">
        <v>66913.0</v>
      </c>
      <c r="D53" s="52">
        <v>62950.0</v>
      </c>
      <c r="E53" s="52">
        <v>55374.0</v>
      </c>
      <c r="F53" s="52">
        <v>1142.0</v>
      </c>
      <c r="G53" s="52">
        <v>10871.0</v>
      </c>
      <c r="H53" s="52">
        <v>2821.0</v>
      </c>
      <c r="I53" s="52">
        <v>668.0</v>
      </c>
      <c r="J53" s="55">
        <v>46182.82903579861</v>
      </c>
      <c r="K53" s="54" t="s">
        <v>520</v>
      </c>
    </row>
    <row r="54" ht="15.75" customHeight="1">
      <c r="A54" s="50">
        <v>46021.0</v>
      </c>
      <c r="B54" s="51" t="s">
        <v>117</v>
      </c>
      <c r="C54" s="52">
        <v>54691.0</v>
      </c>
      <c r="D54" s="52">
        <v>48520.0</v>
      </c>
      <c r="E54" s="52">
        <v>44898.0</v>
      </c>
      <c r="F54" s="52">
        <v>2560.0</v>
      </c>
      <c r="G54" s="52">
        <v>8541.0</v>
      </c>
      <c r="H54" s="52">
        <v>3611.0</v>
      </c>
      <c r="I54" s="52">
        <v>1252.0</v>
      </c>
      <c r="J54" s="55">
        <v>46182.82903579861</v>
      </c>
      <c r="K54" s="54" t="s">
        <v>520</v>
      </c>
    </row>
    <row r="55" ht="15.75" customHeight="1">
      <c r="A55" s="50">
        <v>46014.0</v>
      </c>
      <c r="B55" s="51" t="s">
        <v>117</v>
      </c>
      <c r="C55" s="52">
        <v>53223.0</v>
      </c>
      <c r="D55" s="52">
        <v>49014.0</v>
      </c>
      <c r="E55" s="52">
        <v>43008.0</v>
      </c>
      <c r="F55" s="52">
        <v>1177.0</v>
      </c>
      <c r="G55" s="52">
        <v>9201.0</v>
      </c>
      <c r="H55" s="52">
        <v>3032.0</v>
      </c>
      <c r="I55" s="52">
        <v>1014.0</v>
      </c>
      <c r="J55" s="55">
        <v>46182.82903579861</v>
      </c>
      <c r="K55" s="54" t="s">
        <v>520</v>
      </c>
    </row>
    <row r="56" ht="15.75" customHeight="1">
      <c r="A56" s="50">
        <v>46007.0</v>
      </c>
      <c r="B56" s="51" t="s">
        <v>117</v>
      </c>
      <c r="C56" s="52">
        <v>85213.0</v>
      </c>
      <c r="D56" s="52">
        <v>69201.0</v>
      </c>
      <c r="E56" s="52">
        <v>72589.0</v>
      </c>
      <c r="F56" s="52">
        <v>9876.0</v>
      </c>
      <c r="G56" s="52">
        <v>8661.0</v>
      </c>
      <c r="H56" s="52">
        <v>5836.0</v>
      </c>
      <c r="I56" s="52">
        <v>3663.0</v>
      </c>
      <c r="J56" s="55">
        <v>46182.82903579861</v>
      </c>
      <c r="K56" s="54" t="s">
        <v>520</v>
      </c>
    </row>
    <row r="57" ht="15.75" customHeight="1">
      <c r="A57" s="50">
        <v>46000.0</v>
      </c>
      <c r="B57" s="51" t="s">
        <v>117</v>
      </c>
      <c r="C57" s="52">
        <v>65478.0</v>
      </c>
      <c r="D57" s="52">
        <v>54524.0</v>
      </c>
      <c r="E57" s="52">
        <v>57602.0</v>
      </c>
      <c r="F57" s="52">
        <v>8027.0</v>
      </c>
      <c r="G57" s="52">
        <v>7022.0</v>
      </c>
      <c r="H57" s="52">
        <v>2927.0</v>
      </c>
      <c r="I57" s="52">
        <v>854.0</v>
      </c>
      <c r="J57" s="55">
        <v>46182.82903579861</v>
      </c>
      <c r="K57" s="54" t="s">
        <v>520</v>
      </c>
    </row>
    <row r="58" ht="15.75" customHeight="1">
      <c r="A58" s="50">
        <v>45993.0</v>
      </c>
      <c r="B58" s="51" t="s">
        <v>117</v>
      </c>
      <c r="C58" s="52">
        <v>64504.0</v>
      </c>
      <c r="D58" s="52">
        <v>52805.0</v>
      </c>
      <c r="E58" s="52">
        <v>57446.0</v>
      </c>
      <c r="F58" s="52">
        <v>8693.0</v>
      </c>
      <c r="G58" s="52">
        <v>6288.0</v>
      </c>
      <c r="H58" s="52">
        <v>3006.0</v>
      </c>
      <c r="I58" s="52">
        <v>770.0</v>
      </c>
      <c r="J58" s="55">
        <v>46182.82903579861</v>
      </c>
      <c r="K58" s="54" t="s">
        <v>520</v>
      </c>
    </row>
    <row r="59" ht="15.75" customHeight="1">
      <c r="A59" s="50">
        <v>45986.0</v>
      </c>
      <c r="B59" s="51" t="s">
        <v>117</v>
      </c>
      <c r="C59" s="52">
        <v>62166.0</v>
      </c>
      <c r="D59" s="52">
        <v>52298.0</v>
      </c>
      <c r="E59" s="52">
        <v>58008.0</v>
      </c>
      <c r="F59" s="52">
        <v>7204.0</v>
      </c>
      <c r="G59" s="52">
        <v>2905.0</v>
      </c>
      <c r="H59" s="52">
        <v>2664.0</v>
      </c>
      <c r="I59" s="52">
        <v>1253.0</v>
      </c>
      <c r="J59" s="55">
        <v>46182.82903579861</v>
      </c>
      <c r="K59" s="54" t="s">
        <v>520</v>
      </c>
    </row>
    <row r="60" ht="15.75" customHeight="1">
      <c r="A60" s="50">
        <v>45979.0</v>
      </c>
      <c r="B60" s="51" t="s">
        <v>117</v>
      </c>
      <c r="C60" s="52">
        <v>62041.0</v>
      </c>
      <c r="D60" s="52">
        <v>53445.0</v>
      </c>
      <c r="E60" s="52">
        <v>58045.0</v>
      </c>
      <c r="F60" s="52">
        <v>5894.0</v>
      </c>
      <c r="G60" s="52">
        <v>3139.0</v>
      </c>
      <c r="H60" s="52">
        <v>2702.0</v>
      </c>
      <c r="I60" s="52">
        <v>857.0</v>
      </c>
      <c r="J60" s="55">
        <v>46182.82903579861</v>
      </c>
      <c r="K60" s="54" t="s">
        <v>520</v>
      </c>
    </row>
    <row r="61" ht="15.75" customHeight="1">
      <c r="A61" s="50">
        <v>45971.0</v>
      </c>
      <c r="B61" s="51" t="s">
        <v>117</v>
      </c>
      <c r="C61" s="52">
        <v>60666.0</v>
      </c>
      <c r="D61" s="52">
        <v>53629.0</v>
      </c>
      <c r="E61" s="52">
        <v>57493.0</v>
      </c>
      <c r="F61" s="52">
        <v>4513.0</v>
      </c>
      <c r="G61" s="52">
        <v>2151.0</v>
      </c>
      <c r="H61" s="52">
        <v>2524.0</v>
      </c>
      <c r="I61" s="52">
        <v>1022.0</v>
      </c>
      <c r="J61" s="55">
        <v>46182.82903579861</v>
      </c>
      <c r="K61" s="54" t="s">
        <v>520</v>
      </c>
    </row>
    <row r="62" ht="15.75" customHeight="1">
      <c r="A62" s="50">
        <v>46175.0</v>
      </c>
      <c r="B62" s="51" t="s">
        <v>118</v>
      </c>
      <c r="C62" s="52">
        <v>2149231.0</v>
      </c>
      <c r="D62" s="52">
        <v>1564176.0</v>
      </c>
      <c r="E62" s="52">
        <v>1454102.0</v>
      </c>
      <c r="F62" s="52">
        <v>269402.0</v>
      </c>
      <c r="G62" s="52">
        <v>490170.0</v>
      </c>
      <c r="H62" s="52">
        <v>276056.0</v>
      </c>
      <c r="I62" s="52">
        <v>165362.0</v>
      </c>
      <c r="J62" s="56">
        <v>46182.82903579861</v>
      </c>
      <c r="K62" s="57" t="s">
        <v>521</v>
      </c>
    </row>
    <row r="63" ht="15.75" customHeight="1">
      <c r="A63" s="50">
        <v>46168.0</v>
      </c>
      <c r="B63" s="51" t="s">
        <v>118</v>
      </c>
      <c r="C63" s="52">
        <v>2093621.0</v>
      </c>
      <c r="D63" s="52">
        <v>1532352.0</v>
      </c>
      <c r="E63" s="52">
        <v>1477423.0</v>
      </c>
      <c r="F63" s="52">
        <v>254188.0</v>
      </c>
      <c r="G63" s="52">
        <v>420019.0</v>
      </c>
      <c r="H63" s="52">
        <v>268642.0</v>
      </c>
      <c r="I63" s="52">
        <v>157740.0</v>
      </c>
      <c r="J63" s="56">
        <v>46182.82903579861</v>
      </c>
      <c r="K63" s="57" t="s">
        <v>521</v>
      </c>
    </row>
    <row r="64" ht="15.75" customHeight="1">
      <c r="A64" s="50">
        <v>46161.0</v>
      </c>
      <c r="B64" s="51" t="s">
        <v>118</v>
      </c>
      <c r="C64" s="52">
        <v>2068443.0</v>
      </c>
      <c r="D64" s="52">
        <v>1494005.0</v>
      </c>
      <c r="E64" s="52">
        <v>1455197.0</v>
      </c>
      <c r="F64" s="52">
        <v>270382.0</v>
      </c>
      <c r="G64" s="52">
        <v>410987.0</v>
      </c>
      <c r="H64" s="52">
        <v>263458.0</v>
      </c>
      <c r="I64" s="52">
        <v>161661.0</v>
      </c>
      <c r="J64" s="56">
        <v>46182.82903579861</v>
      </c>
      <c r="K64" s="57" t="s">
        <v>521</v>
      </c>
    </row>
    <row r="65" ht="15.75" customHeight="1">
      <c r="A65" s="50">
        <v>46154.0</v>
      </c>
      <c r="B65" s="51" t="s">
        <v>118</v>
      </c>
      <c r="C65" s="52">
        <v>2056229.0</v>
      </c>
      <c r="D65" s="52">
        <v>1493830.0</v>
      </c>
      <c r="E65" s="52">
        <v>1446018.0</v>
      </c>
      <c r="F65" s="52">
        <v>265505.0</v>
      </c>
      <c r="G65" s="52">
        <v>409340.0</v>
      </c>
      <c r="H65" s="52">
        <v>261019.0</v>
      </c>
      <c r="I65" s="52">
        <v>164996.0</v>
      </c>
      <c r="J65" s="56">
        <v>46182.82903579861</v>
      </c>
      <c r="K65" s="57" t="s">
        <v>521</v>
      </c>
    </row>
    <row r="66" ht="15.75" customHeight="1">
      <c r="A66" s="50">
        <v>46147.0</v>
      </c>
      <c r="B66" s="51" t="s">
        <v>118</v>
      </c>
      <c r="C66" s="52">
        <v>1987685.0</v>
      </c>
      <c r="D66" s="52">
        <v>1441704.0</v>
      </c>
      <c r="E66" s="52">
        <v>1425342.0</v>
      </c>
      <c r="F66" s="52">
        <v>256838.0</v>
      </c>
      <c r="G66" s="52">
        <v>360723.0</v>
      </c>
      <c r="H66" s="52">
        <v>253180.0</v>
      </c>
      <c r="I66" s="52">
        <v>165657.0</v>
      </c>
      <c r="J66" s="56">
        <v>46182.82903579861</v>
      </c>
      <c r="K66" s="57" t="s">
        <v>521</v>
      </c>
    </row>
    <row r="67" ht="15.75" customHeight="1">
      <c r="A67" s="50">
        <v>46140.0</v>
      </c>
      <c r="B67" s="51" t="s">
        <v>118</v>
      </c>
      <c r="C67" s="52">
        <v>1959933.0</v>
      </c>
      <c r="D67" s="52">
        <v>1426842.0</v>
      </c>
      <c r="E67" s="52">
        <v>1417891.0</v>
      </c>
      <c r="F67" s="52">
        <v>244296.0</v>
      </c>
      <c r="G67" s="52">
        <v>345736.0</v>
      </c>
      <c r="H67" s="52">
        <v>252048.0</v>
      </c>
      <c r="I67" s="52">
        <v>159559.0</v>
      </c>
      <c r="J67" s="56">
        <v>46182.82903579861</v>
      </c>
      <c r="K67" s="57" t="s">
        <v>521</v>
      </c>
    </row>
    <row r="68" ht="15.75" customHeight="1">
      <c r="A68" s="50">
        <v>46133.0</v>
      </c>
      <c r="B68" s="51" t="s">
        <v>118</v>
      </c>
      <c r="C68" s="52">
        <v>1963317.0</v>
      </c>
      <c r="D68" s="52">
        <v>1442422.0</v>
      </c>
      <c r="E68" s="52">
        <v>1424075.0</v>
      </c>
      <c r="F68" s="52">
        <v>235119.0</v>
      </c>
      <c r="G68" s="52">
        <v>345225.0</v>
      </c>
      <c r="H68" s="52">
        <v>252323.0</v>
      </c>
      <c r="I68" s="52">
        <v>160564.0</v>
      </c>
      <c r="J68" s="56">
        <v>46182.82903579861</v>
      </c>
      <c r="K68" s="57" t="s">
        <v>521</v>
      </c>
    </row>
    <row r="69" ht="15.75" customHeight="1">
      <c r="A69" s="50">
        <v>46126.0</v>
      </c>
      <c r="B69" s="51" t="s">
        <v>118</v>
      </c>
      <c r="C69" s="52">
        <v>1959076.0</v>
      </c>
      <c r="D69" s="52">
        <v>1448311.0</v>
      </c>
      <c r="E69" s="52">
        <v>1402643.0</v>
      </c>
      <c r="F69" s="52">
        <v>236683.0</v>
      </c>
      <c r="G69" s="52">
        <v>352445.0</v>
      </c>
      <c r="H69" s="52">
        <v>242192.0</v>
      </c>
      <c r="I69" s="52">
        <v>172098.0</v>
      </c>
      <c r="J69" s="56">
        <v>46182.82903579861</v>
      </c>
      <c r="K69" s="57" t="s">
        <v>521</v>
      </c>
    </row>
    <row r="70" ht="15.75" customHeight="1">
      <c r="A70" s="50">
        <v>46119.0</v>
      </c>
      <c r="B70" s="51" t="s">
        <v>118</v>
      </c>
      <c r="C70" s="52">
        <v>1929090.0</v>
      </c>
      <c r="D70" s="52">
        <v>1415196.0</v>
      </c>
      <c r="E70" s="52">
        <v>1432724.0</v>
      </c>
      <c r="F70" s="52">
        <v>233095.0</v>
      </c>
      <c r="G70" s="52">
        <v>278761.0</v>
      </c>
      <c r="H70" s="52">
        <v>242173.0</v>
      </c>
      <c r="I70" s="52">
        <v>178979.0</v>
      </c>
      <c r="J70" s="56">
        <v>46182.82903579861</v>
      </c>
      <c r="K70" s="57" t="s">
        <v>521</v>
      </c>
    </row>
    <row r="71" ht="15.75" customHeight="1">
      <c r="A71" s="50">
        <v>46112.0</v>
      </c>
      <c r="B71" s="51" t="s">
        <v>118</v>
      </c>
      <c r="C71" s="52">
        <v>1947769.0</v>
      </c>
      <c r="D71" s="52">
        <v>1428901.0</v>
      </c>
      <c r="E71" s="52">
        <v>1461799.0</v>
      </c>
      <c r="F71" s="52">
        <v>241389.0</v>
      </c>
      <c r="G71" s="52">
        <v>283868.0</v>
      </c>
      <c r="H71" s="52">
        <v>243672.0</v>
      </c>
      <c r="I71" s="52">
        <v>168295.0</v>
      </c>
      <c r="J71" s="56">
        <v>46182.82903579861</v>
      </c>
      <c r="K71" s="57" t="s">
        <v>521</v>
      </c>
    </row>
    <row r="72" ht="15.75" customHeight="1">
      <c r="A72" s="50">
        <v>46105.0</v>
      </c>
      <c r="B72" s="51" t="s">
        <v>118</v>
      </c>
      <c r="C72" s="52">
        <v>1879423.0</v>
      </c>
      <c r="D72" s="52">
        <v>1391430.0</v>
      </c>
      <c r="E72" s="52">
        <v>1394751.0</v>
      </c>
      <c r="F72" s="52">
        <v>214137.0</v>
      </c>
      <c r="G72" s="52">
        <v>295028.0</v>
      </c>
      <c r="H72" s="52">
        <v>248997.0</v>
      </c>
      <c r="I72" s="52">
        <v>164785.0</v>
      </c>
      <c r="J72" s="56">
        <v>46182.82903579861</v>
      </c>
      <c r="K72" s="57" t="s">
        <v>521</v>
      </c>
    </row>
    <row r="73" ht="15.75" customHeight="1">
      <c r="A73" s="50">
        <v>46098.0</v>
      </c>
      <c r="B73" s="51" t="s">
        <v>118</v>
      </c>
      <c r="C73" s="52">
        <v>2330659.0</v>
      </c>
      <c r="D73" s="52">
        <v>1744037.0</v>
      </c>
      <c r="E73" s="52">
        <v>1724917.0</v>
      </c>
      <c r="F73" s="52">
        <v>208531.0</v>
      </c>
      <c r="G73" s="52">
        <v>321588.0</v>
      </c>
      <c r="H73" s="52">
        <v>282301.0</v>
      </c>
      <c r="I73" s="52">
        <v>188364.0</v>
      </c>
      <c r="J73" s="56">
        <v>46182.82903579861</v>
      </c>
      <c r="K73" s="57" t="s">
        <v>521</v>
      </c>
    </row>
    <row r="74" ht="15.75" customHeight="1">
      <c r="A74" s="50">
        <v>46091.0</v>
      </c>
      <c r="B74" s="51" t="s">
        <v>118</v>
      </c>
      <c r="C74" s="52">
        <v>1996720.0</v>
      </c>
      <c r="D74" s="52">
        <v>1486880.0</v>
      </c>
      <c r="E74" s="52">
        <v>1429758.0</v>
      </c>
      <c r="F74" s="52">
        <v>198229.0</v>
      </c>
      <c r="G74" s="52">
        <v>332734.0</v>
      </c>
      <c r="H74" s="52">
        <v>261643.0</v>
      </c>
      <c r="I74" s="52">
        <v>184260.0</v>
      </c>
      <c r="J74" s="56">
        <v>46182.82903579861</v>
      </c>
      <c r="K74" s="57" t="s">
        <v>521</v>
      </c>
    </row>
    <row r="75" ht="15.75" customHeight="1">
      <c r="A75" s="50">
        <v>46084.0</v>
      </c>
      <c r="B75" s="51" t="s">
        <v>118</v>
      </c>
      <c r="C75" s="52">
        <v>2060733.0</v>
      </c>
      <c r="D75" s="52">
        <v>1556831.0</v>
      </c>
      <c r="E75" s="52">
        <v>1485159.0</v>
      </c>
      <c r="F75" s="52">
        <v>208740.0</v>
      </c>
      <c r="G75" s="52">
        <v>376956.0</v>
      </c>
      <c r="H75" s="52">
        <v>255189.0</v>
      </c>
      <c r="I75" s="52">
        <v>158645.0</v>
      </c>
      <c r="J75" s="56">
        <v>46182.82903579861</v>
      </c>
      <c r="K75" s="57" t="s">
        <v>521</v>
      </c>
    </row>
    <row r="76" ht="15.75" customHeight="1">
      <c r="A76" s="50">
        <v>46077.0</v>
      </c>
      <c r="B76" s="51" t="s">
        <v>118</v>
      </c>
      <c r="C76" s="52">
        <v>2017196.0</v>
      </c>
      <c r="D76" s="52">
        <v>1509639.0</v>
      </c>
      <c r="E76" s="52">
        <v>1438143.0</v>
      </c>
      <c r="F76" s="52">
        <v>201411.0</v>
      </c>
      <c r="G76" s="52">
        <v>394894.0</v>
      </c>
      <c r="H76" s="52">
        <v>266922.0</v>
      </c>
      <c r="I76" s="52">
        <v>144935.0</v>
      </c>
      <c r="J76" s="56">
        <v>46182.82903579861</v>
      </c>
      <c r="K76" s="57" t="s">
        <v>521</v>
      </c>
    </row>
    <row r="77" ht="15.75" customHeight="1">
      <c r="A77" s="50">
        <v>46070.0</v>
      </c>
      <c r="B77" s="51" t="s">
        <v>118</v>
      </c>
      <c r="C77" s="52">
        <v>1966090.0</v>
      </c>
      <c r="D77" s="52">
        <v>1449255.0</v>
      </c>
      <c r="E77" s="52">
        <v>1400366.0</v>
      </c>
      <c r="F77" s="52">
        <v>196426.0</v>
      </c>
      <c r="G77" s="52">
        <v>374257.0</v>
      </c>
      <c r="H77" s="52">
        <v>275741.0</v>
      </c>
      <c r="I77" s="52">
        <v>146799.0</v>
      </c>
      <c r="J77" s="56">
        <v>46182.82903579861</v>
      </c>
      <c r="K77" s="57" t="s">
        <v>521</v>
      </c>
    </row>
    <row r="78" ht="15.75" customHeight="1">
      <c r="A78" s="50">
        <v>46063.0</v>
      </c>
      <c r="B78" s="51" t="s">
        <v>118</v>
      </c>
      <c r="C78" s="52">
        <v>1934958.0</v>
      </c>
      <c r="D78" s="52">
        <v>1383208.0</v>
      </c>
      <c r="E78" s="52">
        <v>1396087.0</v>
      </c>
      <c r="F78" s="52">
        <v>242378.0</v>
      </c>
      <c r="G78" s="52">
        <v>347507.0</v>
      </c>
      <c r="H78" s="52">
        <v>264773.0</v>
      </c>
      <c r="I78" s="52">
        <v>146765.0</v>
      </c>
      <c r="J78" s="56">
        <v>46182.82903579861</v>
      </c>
      <c r="K78" s="57" t="s">
        <v>521</v>
      </c>
    </row>
    <row r="79" ht="15.75" customHeight="1">
      <c r="A79" s="50">
        <v>46056.0</v>
      </c>
      <c r="B79" s="51" t="s">
        <v>118</v>
      </c>
      <c r="C79" s="52">
        <v>1928476.0</v>
      </c>
      <c r="D79" s="52">
        <v>1380950.0</v>
      </c>
      <c r="E79" s="52">
        <v>1369658.0</v>
      </c>
      <c r="F79" s="52">
        <v>248468.0</v>
      </c>
      <c r="G79" s="52">
        <v>381409.0</v>
      </c>
      <c r="H79" s="52">
        <v>265972.0</v>
      </c>
      <c r="I79" s="52">
        <v>144323.0</v>
      </c>
      <c r="J79" s="56">
        <v>46182.82903579861</v>
      </c>
      <c r="K79" s="57" t="s">
        <v>521</v>
      </c>
    </row>
    <row r="80" ht="15.75" customHeight="1">
      <c r="A80" s="50">
        <v>46049.0</v>
      </c>
      <c r="B80" s="51" t="s">
        <v>118</v>
      </c>
      <c r="C80" s="52">
        <v>1897461.0</v>
      </c>
      <c r="D80" s="52">
        <v>1345823.0</v>
      </c>
      <c r="E80" s="52">
        <v>1373953.0</v>
      </c>
      <c r="F80" s="52">
        <v>245442.0</v>
      </c>
      <c r="G80" s="52">
        <v>345229.0</v>
      </c>
      <c r="H80" s="52">
        <v>272677.0</v>
      </c>
      <c r="I80" s="52">
        <v>144760.0</v>
      </c>
      <c r="J80" s="56">
        <v>46182.82903579861</v>
      </c>
      <c r="K80" s="57" t="s">
        <v>521</v>
      </c>
    </row>
    <row r="81" ht="15.75" customHeight="1">
      <c r="A81" s="50">
        <v>46042.0</v>
      </c>
      <c r="B81" s="51" t="s">
        <v>118</v>
      </c>
      <c r="C81" s="52">
        <v>1926910.0</v>
      </c>
      <c r="D81" s="52">
        <v>1361548.0</v>
      </c>
      <c r="E81" s="52">
        <v>1403471.0</v>
      </c>
      <c r="F81" s="52">
        <v>246594.0</v>
      </c>
      <c r="G81" s="52">
        <v>328370.0</v>
      </c>
      <c r="H81" s="52">
        <v>269656.0</v>
      </c>
      <c r="I81" s="52">
        <v>145957.0</v>
      </c>
      <c r="J81" s="56">
        <v>46182.82903579861</v>
      </c>
      <c r="K81" s="57" t="s">
        <v>521</v>
      </c>
    </row>
    <row r="82" ht="15.75" customHeight="1">
      <c r="A82" s="50">
        <v>46035.0</v>
      </c>
      <c r="B82" s="51" t="s">
        <v>118</v>
      </c>
      <c r="C82" s="52">
        <v>1909351.0</v>
      </c>
      <c r="D82" s="52">
        <v>1349991.0</v>
      </c>
      <c r="E82" s="52">
        <v>1366491.0</v>
      </c>
      <c r="F82" s="52">
        <v>247686.0</v>
      </c>
      <c r="G82" s="52">
        <v>369813.0</v>
      </c>
      <c r="H82" s="52">
        <v>268079.0</v>
      </c>
      <c r="I82" s="52">
        <v>129452.0</v>
      </c>
      <c r="J82" s="56">
        <v>46182.82903579861</v>
      </c>
      <c r="K82" s="57" t="s">
        <v>521</v>
      </c>
    </row>
    <row r="83" ht="15.75" customHeight="1">
      <c r="A83" s="50">
        <v>46028.0</v>
      </c>
      <c r="B83" s="51" t="s">
        <v>118</v>
      </c>
      <c r="C83" s="52">
        <v>1945513.0</v>
      </c>
      <c r="D83" s="52">
        <v>1406497.0</v>
      </c>
      <c r="E83" s="52">
        <v>1436875.0</v>
      </c>
      <c r="F83" s="52">
        <v>227064.0</v>
      </c>
      <c r="G83" s="52">
        <v>333152.0</v>
      </c>
      <c r="H83" s="52">
        <v>265273.0</v>
      </c>
      <c r="I83" s="52">
        <v>128807.0</v>
      </c>
      <c r="J83" s="56">
        <v>46182.82903579861</v>
      </c>
      <c r="K83" s="57" t="s">
        <v>521</v>
      </c>
    </row>
    <row r="84" ht="15.75" customHeight="1">
      <c r="A84" s="50">
        <v>46021.0</v>
      </c>
      <c r="B84" s="51" t="s">
        <v>118</v>
      </c>
      <c r="C84" s="52">
        <v>1936495.0</v>
      </c>
      <c r="D84" s="52">
        <v>1399156.0</v>
      </c>
      <c r="E84" s="52">
        <v>1429066.0</v>
      </c>
      <c r="F84" s="52">
        <v>224927.0</v>
      </c>
      <c r="G84" s="52">
        <v>319342.0</v>
      </c>
      <c r="H84" s="52">
        <v>264382.0</v>
      </c>
      <c r="I84" s="52">
        <v>140057.0</v>
      </c>
      <c r="J84" s="56">
        <v>46182.82903579861</v>
      </c>
      <c r="K84" s="57" t="s">
        <v>521</v>
      </c>
    </row>
    <row r="85" ht="15.75" customHeight="1">
      <c r="A85" s="50">
        <v>46014.0</v>
      </c>
      <c r="B85" s="51" t="s">
        <v>118</v>
      </c>
      <c r="C85" s="52">
        <v>1911017.0</v>
      </c>
      <c r="D85" s="52">
        <v>1379290.0</v>
      </c>
      <c r="E85" s="52">
        <v>1429910.0</v>
      </c>
      <c r="F85" s="52">
        <v>240524.0</v>
      </c>
      <c r="G85" s="52">
        <v>322344.0</v>
      </c>
      <c r="H85" s="52">
        <v>265821.0</v>
      </c>
      <c r="I85" s="52">
        <v>133381.0</v>
      </c>
      <c r="J85" s="56">
        <v>46182.82903579861</v>
      </c>
      <c r="K85" s="57" t="s">
        <v>521</v>
      </c>
    </row>
    <row r="86" ht="15.75" customHeight="1">
      <c r="A86" s="50">
        <v>46007.0</v>
      </c>
      <c r="B86" s="51" t="s">
        <v>118</v>
      </c>
      <c r="C86" s="52">
        <v>2466313.0</v>
      </c>
      <c r="D86" s="52">
        <v>1800982.0</v>
      </c>
      <c r="E86" s="52">
        <v>1766111.0</v>
      </c>
      <c r="F86" s="52">
        <v>247967.0</v>
      </c>
      <c r="G86" s="52">
        <v>413986.0</v>
      </c>
      <c r="H86" s="52">
        <v>307444.0</v>
      </c>
      <c r="I86" s="52">
        <v>176296.0</v>
      </c>
      <c r="J86" s="56">
        <v>46182.82903579861</v>
      </c>
      <c r="K86" s="57" t="s">
        <v>521</v>
      </c>
    </row>
    <row r="87" ht="15.75" customHeight="1">
      <c r="A87" s="50">
        <v>46000.0</v>
      </c>
      <c r="B87" s="51" t="s">
        <v>118</v>
      </c>
      <c r="C87" s="52">
        <v>2141031.0</v>
      </c>
      <c r="D87" s="52">
        <v>1563158.0</v>
      </c>
      <c r="E87" s="52">
        <v>1499216.0</v>
      </c>
      <c r="F87" s="52">
        <v>227422.0</v>
      </c>
      <c r="G87" s="52">
        <v>417867.0</v>
      </c>
      <c r="H87" s="52">
        <v>278527.0</v>
      </c>
      <c r="I87" s="52">
        <v>152024.0</v>
      </c>
      <c r="J87" s="56">
        <v>46182.82903579861</v>
      </c>
      <c r="K87" s="57" t="s">
        <v>521</v>
      </c>
    </row>
    <row r="88" ht="15.75" customHeight="1">
      <c r="A88" s="50">
        <v>45993.0</v>
      </c>
      <c r="B88" s="51" t="s">
        <v>118</v>
      </c>
      <c r="C88" s="52">
        <v>2074887.0</v>
      </c>
      <c r="D88" s="52">
        <v>1507879.0</v>
      </c>
      <c r="E88" s="52">
        <v>1439983.0</v>
      </c>
      <c r="F88" s="52">
        <v>226401.0</v>
      </c>
      <c r="G88" s="52">
        <v>422068.0</v>
      </c>
      <c r="H88" s="52">
        <v>285067.0</v>
      </c>
      <c r="I88" s="52">
        <v>157296.0</v>
      </c>
      <c r="J88" s="56">
        <v>46182.82903579861</v>
      </c>
      <c r="K88" s="57" t="s">
        <v>521</v>
      </c>
    </row>
    <row r="89" ht="15.75" customHeight="1">
      <c r="A89" s="50">
        <v>45986.0</v>
      </c>
      <c r="B89" s="51" t="s">
        <v>118</v>
      </c>
      <c r="C89" s="52">
        <v>2070962.0</v>
      </c>
      <c r="D89" s="52">
        <v>1483445.0</v>
      </c>
      <c r="E89" s="52">
        <v>1454078.0</v>
      </c>
      <c r="F89" s="52">
        <v>243930.0</v>
      </c>
      <c r="G89" s="52">
        <v>399208.0</v>
      </c>
      <c r="H89" s="52">
        <v>285530.0</v>
      </c>
      <c r="I89" s="52">
        <v>159619.0</v>
      </c>
      <c r="J89" s="56">
        <v>46182.82903579861</v>
      </c>
      <c r="K89" s="57" t="s">
        <v>521</v>
      </c>
    </row>
    <row r="90" ht="15.75" customHeight="1">
      <c r="A90" s="50">
        <v>45979.0</v>
      </c>
      <c r="B90" s="51" t="s">
        <v>118</v>
      </c>
      <c r="C90" s="52">
        <v>2037320.0</v>
      </c>
      <c r="D90" s="52">
        <v>1486833.0</v>
      </c>
      <c r="E90" s="52">
        <v>1436869.0</v>
      </c>
      <c r="F90" s="52">
        <v>226755.0</v>
      </c>
      <c r="G90" s="52">
        <v>374160.0</v>
      </c>
      <c r="H90" s="52">
        <v>266268.0</v>
      </c>
      <c r="I90" s="52">
        <v>168827.0</v>
      </c>
      <c r="J90" s="56">
        <v>46182.82903579861</v>
      </c>
      <c r="K90" s="57" t="s">
        <v>521</v>
      </c>
    </row>
    <row r="91" ht="15.75" customHeight="1">
      <c r="A91" s="50">
        <v>45971.0</v>
      </c>
      <c r="B91" s="51" t="s">
        <v>118</v>
      </c>
      <c r="C91" s="52">
        <v>1981117.0</v>
      </c>
      <c r="D91" s="52">
        <v>1441480.0</v>
      </c>
      <c r="E91" s="52">
        <v>1388589.0</v>
      </c>
      <c r="F91" s="52">
        <v>228657.0</v>
      </c>
      <c r="G91" s="52">
        <v>386587.0</v>
      </c>
      <c r="H91" s="52">
        <v>262824.0</v>
      </c>
      <c r="I91" s="52">
        <v>157785.0</v>
      </c>
      <c r="J91" s="56">
        <v>46182.82903579861</v>
      </c>
      <c r="K91" s="57" t="s">
        <v>521</v>
      </c>
    </row>
    <row r="92" ht="15.75" customHeight="1">
      <c r="A92" s="50">
        <v>46175.0</v>
      </c>
      <c r="B92" s="51" t="s">
        <v>119</v>
      </c>
      <c r="C92" s="52">
        <v>345837.0</v>
      </c>
      <c r="D92" s="52">
        <v>181764.0</v>
      </c>
      <c r="E92" s="52">
        <v>166288.0</v>
      </c>
      <c r="F92" s="52">
        <v>68549.0</v>
      </c>
      <c r="G92" s="52">
        <v>90634.0</v>
      </c>
      <c r="H92" s="52">
        <v>50144.0</v>
      </c>
      <c r="I92" s="52">
        <v>43534.0</v>
      </c>
      <c r="J92" s="56">
        <v>46182.82903579861</v>
      </c>
      <c r="K92" s="57" t="s">
        <v>522</v>
      </c>
    </row>
    <row r="93" ht="15.75" customHeight="1">
      <c r="A93" s="50">
        <v>46168.0</v>
      </c>
      <c r="B93" s="51" t="s">
        <v>119</v>
      </c>
      <c r="C93" s="52">
        <v>330617.0</v>
      </c>
      <c r="D93" s="52">
        <v>169167.0</v>
      </c>
      <c r="E93" s="52">
        <v>168993.0</v>
      </c>
      <c r="F93" s="52">
        <v>69237.0</v>
      </c>
      <c r="G93" s="52">
        <v>80519.0</v>
      </c>
      <c r="H93" s="52">
        <v>50017.0</v>
      </c>
      <c r="I93" s="52">
        <v>38908.0</v>
      </c>
      <c r="J93" s="56">
        <v>46182.82903579861</v>
      </c>
      <c r="K93" s="57" t="s">
        <v>522</v>
      </c>
    </row>
    <row r="94" ht="15.75" customHeight="1">
      <c r="A94" s="50">
        <v>46161.0</v>
      </c>
      <c r="B94" s="51" t="s">
        <v>119</v>
      </c>
      <c r="C94" s="52">
        <v>320044.0</v>
      </c>
      <c r="D94" s="52">
        <v>158856.0</v>
      </c>
      <c r="E94" s="52">
        <v>161816.0</v>
      </c>
      <c r="F94" s="52">
        <v>71907.0</v>
      </c>
      <c r="G94" s="52">
        <v>79306.0</v>
      </c>
      <c r="H94" s="52">
        <v>48026.0</v>
      </c>
      <c r="I94" s="52">
        <v>37667.0</v>
      </c>
      <c r="J94" s="56">
        <v>46182.82903579861</v>
      </c>
      <c r="K94" s="57" t="s">
        <v>522</v>
      </c>
    </row>
    <row r="95" ht="15.75" customHeight="1">
      <c r="A95" s="50">
        <v>46154.0</v>
      </c>
      <c r="B95" s="51" t="s">
        <v>119</v>
      </c>
      <c r="C95" s="52">
        <v>316227.0</v>
      </c>
      <c r="D95" s="52">
        <v>166606.0</v>
      </c>
      <c r="E95" s="52">
        <v>152014.0</v>
      </c>
      <c r="F95" s="52">
        <v>59162.0</v>
      </c>
      <c r="G95" s="52">
        <v>81061.0</v>
      </c>
      <c r="H95" s="52">
        <v>46303.0</v>
      </c>
      <c r="I95" s="52">
        <v>38996.0</v>
      </c>
      <c r="J95" s="56">
        <v>46182.82903579861</v>
      </c>
      <c r="K95" s="57" t="s">
        <v>522</v>
      </c>
    </row>
    <row r="96" ht="15.75" customHeight="1">
      <c r="A96" s="50">
        <v>46147.0</v>
      </c>
      <c r="B96" s="51" t="s">
        <v>119</v>
      </c>
      <c r="C96" s="52">
        <v>315421.0</v>
      </c>
      <c r="D96" s="52">
        <v>159468.0</v>
      </c>
      <c r="E96" s="52">
        <v>163232.0</v>
      </c>
      <c r="F96" s="52">
        <v>68393.0</v>
      </c>
      <c r="G96" s="52">
        <v>70225.0</v>
      </c>
      <c r="H96" s="52">
        <v>44809.0</v>
      </c>
      <c r="I96" s="52">
        <v>39212.0</v>
      </c>
      <c r="J96" s="56">
        <v>46182.82903579861</v>
      </c>
      <c r="K96" s="57" t="s">
        <v>522</v>
      </c>
    </row>
    <row r="97" ht="15.75" customHeight="1">
      <c r="A97" s="50">
        <v>46140.0</v>
      </c>
      <c r="B97" s="51" t="s">
        <v>119</v>
      </c>
      <c r="C97" s="52">
        <v>302430.0</v>
      </c>
      <c r="D97" s="52">
        <v>150672.0</v>
      </c>
      <c r="E97" s="52">
        <v>150656.0</v>
      </c>
      <c r="F97" s="52">
        <v>66824.0</v>
      </c>
      <c r="G97" s="52">
        <v>72797.0</v>
      </c>
      <c r="H97" s="52">
        <v>44461.0</v>
      </c>
      <c r="I97" s="52">
        <v>38504.0</v>
      </c>
      <c r="J97" s="56">
        <v>46182.82903579861</v>
      </c>
      <c r="K97" s="57" t="s">
        <v>522</v>
      </c>
    </row>
    <row r="98" ht="15.75" customHeight="1">
      <c r="A98" s="50">
        <v>46133.0</v>
      </c>
      <c r="B98" s="51" t="s">
        <v>119</v>
      </c>
      <c r="C98" s="52">
        <v>290216.0</v>
      </c>
      <c r="D98" s="52">
        <v>147270.0</v>
      </c>
      <c r="E98" s="52">
        <v>158570.0</v>
      </c>
      <c r="F98" s="52">
        <v>68265.0</v>
      </c>
      <c r="G98" s="52">
        <v>61653.0</v>
      </c>
      <c r="H98" s="52">
        <v>42066.0</v>
      </c>
      <c r="I98" s="52">
        <v>37378.0</v>
      </c>
      <c r="J98" s="56">
        <v>46182.82903579861</v>
      </c>
      <c r="K98" s="57" t="s">
        <v>522</v>
      </c>
    </row>
    <row r="99" ht="15.75" customHeight="1">
      <c r="A99" s="50">
        <v>46126.0</v>
      </c>
      <c r="B99" s="51" t="s">
        <v>119</v>
      </c>
      <c r="C99" s="52">
        <v>276532.0</v>
      </c>
      <c r="D99" s="52">
        <v>148134.0</v>
      </c>
      <c r="E99" s="52">
        <v>157450.0</v>
      </c>
      <c r="F99" s="52">
        <v>69365.0</v>
      </c>
      <c r="G99" s="52">
        <v>59721.0</v>
      </c>
      <c r="H99" s="52">
        <v>38371.0</v>
      </c>
      <c r="I99" s="52">
        <v>38699.0</v>
      </c>
      <c r="J99" s="56">
        <v>46182.82903579861</v>
      </c>
      <c r="K99" s="57" t="s">
        <v>522</v>
      </c>
    </row>
    <row r="100" ht="15.75" customHeight="1">
      <c r="A100" s="50">
        <v>46119.0</v>
      </c>
      <c r="B100" s="51" t="s">
        <v>119</v>
      </c>
      <c r="C100" s="52">
        <v>258663.0</v>
      </c>
      <c r="D100" s="52">
        <v>140869.0</v>
      </c>
      <c r="E100" s="52">
        <v>147663.0</v>
      </c>
      <c r="F100" s="52">
        <v>70032.0</v>
      </c>
      <c r="G100" s="52">
        <v>60117.0</v>
      </c>
      <c r="H100" s="52">
        <v>33972.0</v>
      </c>
      <c r="I100" s="52">
        <v>37094.0</v>
      </c>
      <c r="J100" s="56">
        <v>46182.82903579861</v>
      </c>
      <c r="K100" s="57" t="s">
        <v>522</v>
      </c>
    </row>
    <row r="101" ht="15.75" customHeight="1">
      <c r="A101" s="50">
        <v>46112.0</v>
      </c>
      <c r="B101" s="51" t="s">
        <v>119</v>
      </c>
      <c r="C101" s="52">
        <v>256358.0</v>
      </c>
      <c r="D101" s="52">
        <v>130999.0</v>
      </c>
      <c r="E101" s="52">
        <v>151610.0</v>
      </c>
      <c r="F101" s="52">
        <v>76502.0</v>
      </c>
      <c r="G101" s="52">
        <v>57031.0</v>
      </c>
      <c r="H101" s="52">
        <v>37593.0</v>
      </c>
      <c r="I101" s="52">
        <v>36453.0</v>
      </c>
      <c r="J101" s="56">
        <v>46182.82903579861</v>
      </c>
      <c r="K101" s="57" t="s">
        <v>522</v>
      </c>
    </row>
    <row r="102" ht="15.75" customHeight="1">
      <c r="A102" s="50">
        <v>46105.0</v>
      </c>
      <c r="B102" s="51" t="s">
        <v>119</v>
      </c>
      <c r="C102" s="52">
        <v>244680.0</v>
      </c>
      <c r="D102" s="52">
        <v>131317.0</v>
      </c>
      <c r="E102" s="52">
        <v>140147.0</v>
      </c>
      <c r="F102" s="52">
        <v>67592.0</v>
      </c>
      <c r="G102" s="52">
        <v>63489.0</v>
      </c>
      <c r="H102" s="52">
        <v>37908.0</v>
      </c>
      <c r="I102" s="52">
        <v>33181.0</v>
      </c>
      <c r="J102" s="56">
        <v>46182.82903579861</v>
      </c>
      <c r="K102" s="57" t="s">
        <v>522</v>
      </c>
    </row>
    <row r="103" ht="15.75" customHeight="1">
      <c r="A103" s="50">
        <v>46098.0</v>
      </c>
      <c r="B103" s="51" t="s">
        <v>119</v>
      </c>
      <c r="C103" s="52">
        <v>318004.0</v>
      </c>
      <c r="D103" s="52">
        <v>155328.0</v>
      </c>
      <c r="E103" s="52">
        <v>180264.0</v>
      </c>
      <c r="F103" s="52">
        <v>72274.0</v>
      </c>
      <c r="G103" s="52">
        <v>51333.0</v>
      </c>
      <c r="H103" s="52">
        <v>42406.0</v>
      </c>
      <c r="I103" s="52">
        <v>38411.0</v>
      </c>
      <c r="J103" s="56">
        <v>46182.82903579861</v>
      </c>
      <c r="K103" s="57" t="s">
        <v>522</v>
      </c>
    </row>
    <row r="104" ht="15.75" customHeight="1">
      <c r="A104" s="50">
        <v>46091.0</v>
      </c>
      <c r="B104" s="51" t="s">
        <v>119</v>
      </c>
      <c r="C104" s="52">
        <v>275311.0</v>
      </c>
      <c r="D104" s="52">
        <v>141507.0</v>
      </c>
      <c r="E104" s="52">
        <v>163573.0</v>
      </c>
      <c r="F104" s="52">
        <v>72084.0</v>
      </c>
      <c r="G104" s="52">
        <v>50355.0</v>
      </c>
      <c r="H104" s="52">
        <v>37261.0</v>
      </c>
      <c r="I104" s="52">
        <v>36924.0</v>
      </c>
      <c r="J104" s="56">
        <v>46182.82903579861</v>
      </c>
      <c r="K104" s="57" t="s">
        <v>522</v>
      </c>
    </row>
    <row r="105" ht="15.75" customHeight="1">
      <c r="A105" s="50">
        <v>46084.0</v>
      </c>
      <c r="B105" s="51" t="s">
        <v>119</v>
      </c>
      <c r="C105" s="52">
        <v>290391.0</v>
      </c>
      <c r="D105" s="52">
        <v>154622.0</v>
      </c>
      <c r="E105" s="52">
        <v>152653.0</v>
      </c>
      <c r="F105" s="52">
        <v>71879.0</v>
      </c>
      <c r="G105" s="52">
        <v>74482.0</v>
      </c>
      <c r="H105" s="52">
        <v>40462.0</v>
      </c>
      <c r="I105" s="52">
        <v>39828.0</v>
      </c>
      <c r="J105" s="56">
        <v>46182.82903579861</v>
      </c>
      <c r="K105" s="57" t="s">
        <v>522</v>
      </c>
    </row>
    <row r="106" ht="15.75" customHeight="1">
      <c r="A106" s="50">
        <v>46077.0</v>
      </c>
      <c r="B106" s="51" t="s">
        <v>119</v>
      </c>
      <c r="C106" s="52">
        <v>285165.0</v>
      </c>
      <c r="D106" s="52">
        <v>148075.0</v>
      </c>
      <c r="E106" s="52">
        <v>163182.0</v>
      </c>
      <c r="F106" s="52">
        <v>76599.0</v>
      </c>
      <c r="G106" s="52">
        <v>68043.0</v>
      </c>
      <c r="H106" s="52">
        <v>42228.0</v>
      </c>
      <c r="I106" s="52">
        <v>35677.0</v>
      </c>
      <c r="J106" s="56">
        <v>46182.82903579861</v>
      </c>
      <c r="K106" s="57" t="s">
        <v>522</v>
      </c>
    </row>
    <row r="107" ht="15.75" customHeight="1">
      <c r="A107" s="50">
        <v>46070.0</v>
      </c>
      <c r="B107" s="51" t="s">
        <v>119</v>
      </c>
      <c r="C107" s="52">
        <v>287390.0</v>
      </c>
      <c r="D107" s="52">
        <v>140592.0</v>
      </c>
      <c r="E107" s="52">
        <v>170681.0</v>
      </c>
      <c r="F107" s="52">
        <v>85591.0</v>
      </c>
      <c r="G107" s="52">
        <v>63439.0</v>
      </c>
      <c r="H107" s="52">
        <v>44144.0</v>
      </c>
      <c r="I107" s="52">
        <v>36206.0</v>
      </c>
      <c r="J107" s="56">
        <v>46182.82903579861</v>
      </c>
      <c r="K107" s="57" t="s">
        <v>522</v>
      </c>
    </row>
    <row r="108" ht="15.75" customHeight="1">
      <c r="A108" s="50">
        <v>46063.0</v>
      </c>
      <c r="B108" s="51" t="s">
        <v>119</v>
      </c>
      <c r="C108" s="52">
        <v>274666.0</v>
      </c>
      <c r="D108" s="52">
        <v>137907.0</v>
      </c>
      <c r="E108" s="52">
        <v>160806.0</v>
      </c>
      <c r="F108" s="52">
        <v>78889.0</v>
      </c>
      <c r="G108" s="52">
        <v>66247.0</v>
      </c>
      <c r="H108" s="52">
        <v>43070.0</v>
      </c>
      <c r="I108" s="52">
        <v>32812.0</v>
      </c>
      <c r="J108" s="56">
        <v>46182.82903579861</v>
      </c>
      <c r="K108" s="57" t="s">
        <v>522</v>
      </c>
    </row>
    <row r="109" ht="15.75" customHeight="1">
      <c r="A109" s="50">
        <v>46056.0</v>
      </c>
      <c r="B109" s="51" t="s">
        <v>119</v>
      </c>
      <c r="C109" s="52">
        <v>279784.0</v>
      </c>
      <c r="D109" s="52">
        <v>139441.0</v>
      </c>
      <c r="E109" s="52">
        <v>166226.0</v>
      </c>
      <c r="F109" s="52">
        <v>81685.0</v>
      </c>
      <c r="G109" s="52">
        <v>69617.0</v>
      </c>
      <c r="H109" s="52">
        <v>45189.0</v>
      </c>
      <c r="I109" s="52">
        <v>30473.0</v>
      </c>
      <c r="J109" s="56">
        <v>46182.82903579861</v>
      </c>
      <c r="K109" s="57" t="s">
        <v>522</v>
      </c>
    </row>
    <row r="110" ht="15.75" customHeight="1">
      <c r="A110" s="50">
        <v>46049.0</v>
      </c>
      <c r="B110" s="51" t="s">
        <v>119</v>
      </c>
      <c r="C110" s="52">
        <v>269849.0</v>
      </c>
      <c r="D110" s="52">
        <v>130573.0</v>
      </c>
      <c r="E110" s="52">
        <v>171625.0</v>
      </c>
      <c r="F110" s="52">
        <v>91028.0</v>
      </c>
      <c r="G110" s="52">
        <v>62148.0</v>
      </c>
      <c r="H110" s="52">
        <v>42634.0</v>
      </c>
      <c r="I110" s="52">
        <v>30461.0</v>
      </c>
      <c r="J110" s="56">
        <v>46182.82903579861</v>
      </c>
      <c r="K110" s="57" t="s">
        <v>522</v>
      </c>
    </row>
    <row r="111" ht="15.75" customHeight="1">
      <c r="A111" s="50">
        <v>46042.0</v>
      </c>
      <c r="B111" s="51" t="s">
        <v>119</v>
      </c>
      <c r="C111" s="52">
        <v>275966.0</v>
      </c>
      <c r="D111" s="52">
        <v>137896.0</v>
      </c>
      <c r="E111" s="52">
        <v>172484.0</v>
      </c>
      <c r="F111" s="52">
        <v>86136.0</v>
      </c>
      <c r="G111" s="52">
        <v>66161.0</v>
      </c>
      <c r="H111" s="52">
        <v>46781.0</v>
      </c>
      <c r="I111" s="52">
        <v>32168.0</v>
      </c>
      <c r="J111" s="56">
        <v>46182.82903579861</v>
      </c>
      <c r="K111" s="57" t="s">
        <v>522</v>
      </c>
    </row>
    <row r="112" ht="15.75" customHeight="1">
      <c r="A112" s="50">
        <v>46035.0</v>
      </c>
      <c r="B112" s="51" t="s">
        <v>119</v>
      </c>
      <c r="C112" s="52">
        <v>287403.0</v>
      </c>
      <c r="D112" s="52">
        <v>140464.0</v>
      </c>
      <c r="E112" s="52">
        <v>185659.0</v>
      </c>
      <c r="F112" s="52">
        <v>97965.0</v>
      </c>
      <c r="G112" s="52">
        <v>66984.0</v>
      </c>
      <c r="H112" s="52">
        <v>43393.0</v>
      </c>
      <c r="I112" s="52">
        <v>29178.0</v>
      </c>
      <c r="J112" s="56">
        <v>46182.82903579861</v>
      </c>
      <c r="K112" s="57" t="s">
        <v>522</v>
      </c>
    </row>
    <row r="113" ht="15.75" customHeight="1">
      <c r="A113" s="50">
        <v>46028.0</v>
      </c>
      <c r="B113" s="51" t="s">
        <v>119</v>
      </c>
      <c r="C113" s="52">
        <v>284377.0</v>
      </c>
      <c r="D113" s="52">
        <v>132460.0</v>
      </c>
      <c r="E113" s="52">
        <v>184827.0</v>
      </c>
      <c r="F113" s="52">
        <v>97977.0</v>
      </c>
      <c r="G113" s="52">
        <v>62376.0</v>
      </c>
      <c r="H113" s="52">
        <v>47569.0</v>
      </c>
      <c r="I113" s="52">
        <v>30803.0</v>
      </c>
      <c r="J113" s="56">
        <v>46182.82903579861</v>
      </c>
      <c r="K113" s="57" t="s">
        <v>522</v>
      </c>
    </row>
    <row r="114" ht="15.75" customHeight="1">
      <c r="A114" s="50">
        <v>46021.0</v>
      </c>
      <c r="B114" s="51" t="s">
        <v>119</v>
      </c>
      <c r="C114" s="52">
        <v>286451.0</v>
      </c>
      <c r="D114" s="52">
        <v>136650.0</v>
      </c>
      <c r="E114" s="52">
        <v>181629.0</v>
      </c>
      <c r="F114" s="52">
        <v>96752.0</v>
      </c>
      <c r="G114" s="52">
        <v>69084.0</v>
      </c>
      <c r="H114" s="52">
        <v>46603.0</v>
      </c>
      <c r="I114" s="52">
        <v>29292.0</v>
      </c>
      <c r="J114" s="56">
        <v>46182.82903579861</v>
      </c>
      <c r="K114" s="57" t="s">
        <v>522</v>
      </c>
    </row>
    <row r="115" ht="15.75" customHeight="1">
      <c r="A115" s="50">
        <v>46014.0</v>
      </c>
      <c r="B115" s="51" t="s">
        <v>119</v>
      </c>
      <c r="C115" s="52">
        <v>274369.0</v>
      </c>
      <c r="D115" s="52">
        <v>128215.0</v>
      </c>
      <c r="E115" s="52">
        <v>178143.0</v>
      </c>
      <c r="F115" s="52">
        <v>93583.0</v>
      </c>
      <c r="G115" s="52">
        <v>60008.0</v>
      </c>
      <c r="H115" s="52">
        <v>47182.0</v>
      </c>
      <c r="I115" s="52">
        <v>30830.0</v>
      </c>
      <c r="J115" s="56">
        <v>46182.82903579861</v>
      </c>
      <c r="K115" s="57" t="s">
        <v>522</v>
      </c>
    </row>
    <row r="116" ht="15.75" customHeight="1">
      <c r="A116" s="50">
        <v>46007.0</v>
      </c>
      <c r="B116" s="51" t="s">
        <v>119</v>
      </c>
      <c r="C116" s="52">
        <v>403867.0</v>
      </c>
      <c r="D116" s="52">
        <v>193477.0</v>
      </c>
      <c r="E116" s="52">
        <v>251986.0</v>
      </c>
      <c r="F116" s="52">
        <v>99300.0</v>
      </c>
      <c r="G116" s="52">
        <v>61228.0</v>
      </c>
      <c r="H116" s="52">
        <v>53201.0</v>
      </c>
      <c r="I116" s="52">
        <v>32765.0</v>
      </c>
      <c r="J116" s="56">
        <v>46182.82903579861</v>
      </c>
      <c r="K116" s="57" t="s">
        <v>522</v>
      </c>
    </row>
    <row r="117" ht="15.75" customHeight="1">
      <c r="A117" s="50">
        <v>46000.0</v>
      </c>
      <c r="B117" s="51" t="s">
        <v>119</v>
      </c>
      <c r="C117" s="52">
        <v>347119.0</v>
      </c>
      <c r="D117" s="52">
        <v>170865.0</v>
      </c>
      <c r="E117" s="52">
        <v>228421.0</v>
      </c>
      <c r="F117" s="52">
        <v>95484.0</v>
      </c>
      <c r="G117" s="52">
        <v>54963.0</v>
      </c>
      <c r="H117" s="52">
        <v>50173.0</v>
      </c>
      <c r="I117" s="52">
        <v>33138.0</v>
      </c>
      <c r="J117" s="56">
        <v>46182.82903579861</v>
      </c>
      <c r="K117" s="57" t="s">
        <v>522</v>
      </c>
    </row>
    <row r="118" ht="15.75" customHeight="1">
      <c r="A118" s="50">
        <v>45993.0</v>
      </c>
      <c r="B118" s="51" t="s">
        <v>119</v>
      </c>
      <c r="C118" s="52">
        <v>328582.0</v>
      </c>
      <c r="D118" s="52">
        <v>159230.0</v>
      </c>
      <c r="E118" s="52">
        <v>216668.0</v>
      </c>
      <c r="F118" s="52">
        <v>94669.0</v>
      </c>
      <c r="G118" s="52">
        <v>53116.0</v>
      </c>
      <c r="H118" s="52">
        <v>48859.0</v>
      </c>
      <c r="I118" s="52">
        <v>32973.0</v>
      </c>
      <c r="J118" s="56">
        <v>46182.82903579861</v>
      </c>
      <c r="K118" s="57" t="s">
        <v>522</v>
      </c>
    </row>
    <row r="119" ht="15.75" customHeight="1">
      <c r="A119" s="50">
        <v>45986.0</v>
      </c>
      <c r="B119" s="51" t="s">
        <v>119</v>
      </c>
      <c r="C119" s="52">
        <v>315399.0</v>
      </c>
      <c r="D119" s="52">
        <v>151760.0</v>
      </c>
      <c r="E119" s="52">
        <v>215366.0</v>
      </c>
      <c r="F119" s="52">
        <v>93647.0</v>
      </c>
      <c r="G119" s="52">
        <v>41882.0</v>
      </c>
      <c r="H119" s="52">
        <v>46753.0</v>
      </c>
      <c r="I119" s="52">
        <v>34910.0</v>
      </c>
      <c r="J119" s="56">
        <v>46182.82903579861</v>
      </c>
      <c r="K119" s="57" t="s">
        <v>522</v>
      </c>
    </row>
    <row r="120" ht="15.75" customHeight="1">
      <c r="A120" s="50">
        <v>45979.0</v>
      </c>
      <c r="B120" s="51" t="s">
        <v>119</v>
      </c>
      <c r="C120" s="52">
        <v>315545.0</v>
      </c>
      <c r="D120" s="52">
        <v>154105.0</v>
      </c>
      <c r="E120" s="52">
        <v>213275.0</v>
      </c>
      <c r="F120" s="52">
        <v>89709.0</v>
      </c>
      <c r="G120" s="52">
        <v>47289.0</v>
      </c>
      <c r="H120" s="52">
        <v>48931.0</v>
      </c>
      <c r="I120" s="52">
        <v>32181.0</v>
      </c>
      <c r="J120" s="56">
        <v>46182.82903579861</v>
      </c>
      <c r="K120" s="57" t="s">
        <v>522</v>
      </c>
    </row>
    <row r="121" ht="15.75" customHeight="1">
      <c r="A121" s="50">
        <v>45971.0</v>
      </c>
      <c r="B121" s="51" t="s">
        <v>119</v>
      </c>
      <c r="C121" s="52">
        <v>309882.0</v>
      </c>
      <c r="D121" s="52">
        <v>148918.0</v>
      </c>
      <c r="E121" s="52">
        <v>210654.0</v>
      </c>
      <c r="F121" s="52">
        <v>95865.0</v>
      </c>
      <c r="G121" s="52">
        <v>46909.0</v>
      </c>
      <c r="H121" s="52">
        <v>45831.0</v>
      </c>
      <c r="I121" s="52">
        <v>33051.0</v>
      </c>
      <c r="J121" s="56">
        <v>46182.82903579861</v>
      </c>
      <c r="K121" s="57" t="s">
        <v>522</v>
      </c>
    </row>
    <row r="122" ht="15.75" customHeight="1">
      <c r="A122" s="58"/>
      <c r="B122" s="32"/>
      <c r="C122" s="32"/>
      <c r="D122" s="32"/>
      <c r="E122" s="32"/>
      <c r="F122" s="32"/>
      <c r="G122" s="32"/>
      <c r="H122" s="32"/>
      <c r="I122" s="32"/>
      <c r="J122" s="59"/>
      <c r="K122" s="60"/>
    </row>
    <row r="123" ht="15.75" customHeight="1">
      <c r="A123" s="58"/>
      <c r="B123" s="32"/>
      <c r="C123" s="32"/>
      <c r="D123" s="32"/>
      <c r="E123" s="32"/>
      <c r="F123" s="32"/>
      <c r="G123" s="32"/>
      <c r="H123" s="32"/>
      <c r="I123" s="32"/>
      <c r="J123" s="59"/>
      <c r="K123" s="60"/>
    </row>
    <row r="124" ht="15.75" customHeight="1">
      <c r="A124" s="58"/>
      <c r="B124" s="32"/>
      <c r="C124" s="32"/>
      <c r="D124" s="32"/>
      <c r="E124" s="32"/>
      <c r="F124" s="32"/>
      <c r="G124" s="32"/>
      <c r="H124" s="32"/>
      <c r="I124" s="32"/>
      <c r="J124" s="59"/>
      <c r="K124" s="60"/>
    </row>
    <row r="125" ht="15.75" customHeight="1">
      <c r="A125" s="58"/>
      <c r="B125" s="32"/>
      <c r="C125" s="32"/>
      <c r="D125" s="32"/>
      <c r="E125" s="32"/>
      <c r="F125" s="32"/>
      <c r="G125" s="32"/>
      <c r="H125" s="32"/>
      <c r="I125" s="32"/>
      <c r="J125" s="59"/>
      <c r="K125" s="60"/>
    </row>
    <row r="126" ht="15.75" customHeight="1">
      <c r="A126" s="58"/>
      <c r="B126" s="32"/>
      <c r="C126" s="32"/>
      <c r="D126" s="32"/>
      <c r="E126" s="32"/>
      <c r="F126" s="32"/>
      <c r="G126" s="32"/>
      <c r="H126" s="32"/>
      <c r="I126" s="32"/>
      <c r="J126" s="59"/>
      <c r="K126" s="60"/>
    </row>
    <row r="127" ht="15.75" customHeight="1">
      <c r="A127" s="58"/>
      <c r="B127" s="32"/>
      <c r="C127" s="32"/>
      <c r="D127" s="32"/>
      <c r="E127" s="32"/>
      <c r="F127" s="32"/>
      <c r="G127" s="32"/>
      <c r="H127" s="32"/>
      <c r="I127" s="32"/>
      <c r="J127" s="59"/>
      <c r="K127" s="60"/>
    </row>
    <row r="128" ht="15.75" customHeight="1">
      <c r="A128" s="58"/>
      <c r="B128" s="32"/>
      <c r="C128" s="32"/>
      <c r="D128" s="32"/>
      <c r="E128" s="32"/>
      <c r="F128" s="32"/>
      <c r="G128" s="32"/>
      <c r="H128" s="32"/>
      <c r="I128" s="32"/>
      <c r="J128" s="59"/>
      <c r="K128" s="60"/>
    </row>
    <row r="129" ht="15.75" customHeight="1">
      <c r="A129" s="58"/>
      <c r="B129" s="32"/>
      <c r="C129" s="32"/>
      <c r="D129" s="32"/>
      <c r="E129" s="32"/>
      <c r="F129" s="32"/>
      <c r="G129" s="32"/>
      <c r="H129" s="32"/>
      <c r="I129" s="32"/>
      <c r="J129" s="59"/>
      <c r="K129" s="60"/>
    </row>
    <row r="130" ht="15.75" customHeight="1">
      <c r="A130" s="58"/>
      <c r="B130" s="32"/>
      <c r="C130" s="32"/>
      <c r="D130" s="32"/>
      <c r="E130" s="32"/>
      <c r="F130" s="32"/>
      <c r="G130" s="32"/>
      <c r="H130" s="32"/>
      <c r="I130" s="32"/>
      <c r="J130" s="59"/>
      <c r="K130" s="60"/>
    </row>
    <row r="131" ht="15.75" customHeight="1">
      <c r="A131" s="58"/>
      <c r="B131" s="32"/>
      <c r="C131" s="32"/>
      <c r="D131" s="32"/>
      <c r="E131" s="32"/>
      <c r="F131" s="32"/>
      <c r="G131" s="32"/>
      <c r="H131" s="32"/>
      <c r="I131" s="32"/>
      <c r="J131" s="59"/>
      <c r="K131" s="60"/>
    </row>
    <row r="132" ht="15.75" customHeight="1">
      <c r="A132" s="58"/>
      <c r="B132" s="32"/>
      <c r="C132" s="32"/>
      <c r="D132" s="32"/>
      <c r="E132" s="32"/>
      <c r="F132" s="32"/>
      <c r="G132" s="32"/>
      <c r="H132" s="32"/>
      <c r="I132" s="32"/>
      <c r="J132" s="59"/>
      <c r="K132" s="60"/>
    </row>
    <row r="133" ht="15.75" customHeight="1">
      <c r="A133" s="58"/>
      <c r="B133" s="32"/>
      <c r="C133" s="32"/>
      <c r="D133" s="32"/>
      <c r="E133" s="32"/>
      <c r="F133" s="32"/>
      <c r="G133" s="32"/>
      <c r="H133" s="32"/>
      <c r="I133" s="32"/>
      <c r="J133" s="59"/>
      <c r="K133" s="60"/>
    </row>
    <row r="134" ht="15.75" customHeight="1">
      <c r="A134" s="58"/>
      <c r="B134" s="32"/>
      <c r="C134" s="32"/>
      <c r="D134" s="32"/>
      <c r="E134" s="32"/>
      <c r="F134" s="32"/>
      <c r="G134" s="32"/>
      <c r="H134" s="32"/>
      <c r="I134" s="32"/>
      <c r="J134" s="59"/>
      <c r="K134" s="60"/>
    </row>
    <row r="135" ht="15.75" customHeight="1">
      <c r="A135" s="58"/>
      <c r="B135" s="32"/>
      <c r="C135" s="32"/>
      <c r="D135" s="32"/>
      <c r="E135" s="32"/>
      <c r="F135" s="32"/>
      <c r="G135" s="32"/>
      <c r="H135" s="32"/>
      <c r="I135" s="32"/>
      <c r="J135" s="59"/>
      <c r="K135" s="60"/>
    </row>
    <row r="136" ht="15.75" customHeight="1">
      <c r="A136" s="58"/>
      <c r="B136" s="32"/>
      <c r="C136" s="32"/>
      <c r="D136" s="32"/>
      <c r="E136" s="32"/>
      <c r="F136" s="32"/>
      <c r="G136" s="32"/>
      <c r="H136" s="32"/>
      <c r="I136" s="32"/>
      <c r="J136" s="59"/>
      <c r="K136" s="60"/>
    </row>
    <row r="137" ht="15.75" customHeight="1">
      <c r="A137" s="58"/>
      <c r="B137" s="32"/>
      <c r="C137" s="32"/>
      <c r="D137" s="32"/>
      <c r="E137" s="32"/>
      <c r="F137" s="32"/>
      <c r="G137" s="32"/>
      <c r="H137" s="32"/>
      <c r="I137" s="32"/>
      <c r="J137" s="59"/>
      <c r="K137" s="60"/>
    </row>
    <row r="138" ht="15.75" customHeight="1">
      <c r="A138" s="58"/>
      <c r="B138" s="32"/>
      <c r="C138" s="32"/>
      <c r="D138" s="32"/>
      <c r="E138" s="32"/>
      <c r="F138" s="32"/>
      <c r="G138" s="32"/>
      <c r="H138" s="32"/>
      <c r="I138" s="32"/>
      <c r="J138" s="59"/>
      <c r="K138" s="60"/>
    </row>
    <row r="139" ht="15.75" customHeight="1">
      <c r="A139" s="58"/>
      <c r="B139" s="32"/>
      <c r="C139" s="32"/>
      <c r="D139" s="32"/>
      <c r="E139" s="32"/>
      <c r="F139" s="32"/>
      <c r="G139" s="32"/>
      <c r="H139" s="32"/>
      <c r="I139" s="32"/>
      <c r="J139" s="59"/>
      <c r="K139" s="60"/>
    </row>
    <row r="140" ht="15.75" customHeight="1">
      <c r="A140" s="58"/>
      <c r="B140" s="32"/>
      <c r="C140" s="32"/>
      <c r="D140" s="32"/>
      <c r="E140" s="32"/>
      <c r="F140" s="32"/>
      <c r="G140" s="32"/>
      <c r="H140" s="32"/>
      <c r="I140" s="32"/>
      <c r="J140" s="59"/>
      <c r="K140" s="60"/>
    </row>
    <row r="141" ht="15.75" customHeight="1">
      <c r="A141" s="58"/>
      <c r="B141" s="32"/>
      <c r="C141" s="32"/>
      <c r="D141" s="32"/>
      <c r="E141" s="32"/>
      <c r="F141" s="32"/>
      <c r="G141" s="32"/>
      <c r="H141" s="32"/>
      <c r="I141" s="32"/>
      <c r="J141" s="59"/>
      <c r="K141" s="60"/>
    </row>
    <row r="142" ht="15.75" customHeight="1">
      <c r="A142" s="58"/>
      <c r="B142" s="32"/>
      <c r="C142" s="32"/>
      <c r="D142" s="32"/>
      <c r="E142" s="32"/>
      <c r="F142" s="32"/>
      <c r="G142" s="32"/>
      <c r="H142" s="32"/>
      <c r="I142" s="32"/>
      <c r="J142" s="59"/>
      <c r="K142" s="60"/>
    </row>
    <row r="143" ht="15.75" customHeight="1">
      <c r="A143" s="58"/>
      <c r="B143" s="32"/>
      <c r="C143" s="32"/>
      <c r="D143" s="32"/>
      <c r="E143" s="32"/>
      <c r="F143" s="32"/>
      <c r="G143" s="32"/>
      <c r="H143" s="32"/>
      <c r="I143" s="32"/>
      <c r="J143" s="59"/>
      <c r="K143" s="60"/>
    </row>
    <row r="144" ht="15.75" customHeight="1">
      <c r="A144" s="58"/>
      <c r="B144" s="32"/>
      <c r="C144" s="32"/>
      <c r="D144" s="32"/>
      <c r="E144" s="32"/>
      <c r="F144" s="32"/>
      <c r="G144" s="32"/>
      <c r="H144" s="32"/>
      <c r="I144" s="32"/>
      <c r="J144" s="59"/>
      <c r="K144" s="60"/>
    </row>
    <row r="145" ht="15.75" customHeight="1">
      <c r="A145" s="58"/>
      <c r="B145" s="32"/>
      <c r="C145" s="32"/>
      <c r="D145" s="32"/>
      <c r="E145" s="32"/>
      <c r="F145" s="32"/>
      <c r="G145" s="32"/>
      <c r="H145" s="32"/>
      <c r="I145" s="32"/>
      <c r="J145" s="59"/>
      <c r="K145" s="60"/>
    </row>
    <row r="146" ht="15.75" customHeight="1">
      <c r="A146" s="58"/>
      <c r="B146" s="32"/>
      <c r="C146" s="32"/>
      <c r="D146" s="32"/>
      <c r="E146" s="32"/>
      <c r="F146" s="32"/>
      <c r="G146" s="32"/>
      <c r="H146" s="32"/>
      <c r="I146" s="32"/>
      <c r="J146" s="59"/>
      <c r="K146" s="60"/>
    </row>
    <row r="147" ht="15.75" customHeight="1">
      <c r="A147" s="58"/>
      <c r="B147" s="32"/>
      <c r="C147" s="32"/>
      <c r="D147" s="32"/>
      <c r="E147" s="32"/>
      <c r="F147" s="32"/>
      <c r="G147" s="32"/>
      <c r="H147" s="32"/>
      <c r="I147" s="32"/>
      <c r="J147" s="59"/>
      <c r="K147" s="60"/>
    </row>
    <row r="148" ht="15.75" customHeight="1">
      <c r="A148" s="58"/>
      <c r="B148" s="32"/>
      <c r="C148" s="32"/>
      <c r="D148" s="32"/>
      <c r="E148" s="32"/>
      <c r="F148" s="32"/>
      <c r="G148" s="32"/>
      <c r="H148" s="32"/>
      <c r="I148" s="32"/>
      <c r="J148" s="59"/>
      <c r="K148" s="60"/>
    </row>
    <row r="149" ht="15.75" customHeight="1">
      <c r="A149" s="58"/>
      <c r="B149" s="32"/>
      <c r="C149" s="32"/>
      <c r="D149" s="32"/>
      <c r="E149" s="32"/>
      <c r="F149" s="32"/>
      <c r="G149" s="32"/>
      <c r="H149" s="32"/>
      <c r="I149" s="32"/>
      <c r="J149" s="59"/>
      <c r="K149" s="60"/>
    </row>
    <row r="150" ht="15.75" customHeight="1">
      <c r="A150" s="58"/>
      <c r="B150" s="32"/>
      <c r="C150" s="32"/>
      <c r="D150" s="32"/>
      <c r="E150" s="32"/>
      <c r="F150" s="32"/>
      <c r="G150" s="32"/>
      <c r="H150" s="32"/>
      <c r="I150" s="32"/>
      <c r="J150" s="59"/>
      <c r="K150" s="60"/>
    </row>
    <row r="151" ht="15.75" customHeight="1">
      <c r="A151" s="58"/>
      <c r="B151" s="32"/>
      <c r="C151" s="32"/>
      <c r="D151" s="32"/>
      <c r="E151" s="32"/>
      <c r="F151" s="32"/>
      <c r="G151" s="32"/>
      <c r="H151" s="32"/>
      <c r="I151" s="32"/>
      <c r="J151" s="59"/>
      <c r="K151" s="60"/>
    </row>
    <row r="152" ht="15.75" customHeight="1">
      <c r="A152" s="58"/>
      <c r="B152" s="32"/>
      <c r="C152" s="32"/>
      <c r="D152" s="32"/>
      <c r="E152" s="32"/>
      <c r="F152" s="32"/>
      <c r="G152" s="32"/>
      <c r="H152" s="32"/>
      <c r="I152" s="32"/>
      <c r="J152" s="59"/>
      <c r="K152" s="60"/>
    </row>
    <row r="153" ht="15.75" customHeight="1">
      <c r="A153" s="58"/>
      <c r="B153" s="32"/>
      <c r="C153" s="32"/>
      <c r="D153" s="32"/>
      <c r="E153" s="32"/>
      <c r="F153" s="32"/>
      <c r="G153" s="32"/>
      <c r="H153" s="32"/>
      <c r="I153" s="32"/>
      <c r="J153" s="59"/>
      <c r="K153" s="60"/>
    </row>
    <row r="154" ht="15.75" customHeight="1">
      <c r="A154" s="58"/>
      <c r="B154" s="32"/>
      <c r="C154" s="32"/>
      <c r="D154" s="32"/>
      <c r="E154" s="32"/>
      <c r="F154" s="32"/>
      <c r="G154" s="32"/>
      <c r="H154" s="32"/>
      <c r="I154" s="32"/>
      <c r="J154" s="59"/>
      <c r="K154" s="60"/>
    </row>
    <row r="155" ht="15.75" customHeight="1">
      <c r="A155" s="58"/>
      <c r="B155" s="32"/>
      <c r="C155" s="32"/>
      <c r="D155" s="32"/>
      <c r="E155" s="32"/>
      <c r="F155" s="32"/>
      <c r="G155" s="32"/>
      <c r="H155" s="32"/>
      <c r="I155" s="32"/>
      <c r="J155" s="59"/>
      <c r="K155" s="60"/>
    </row>
    <row r="156" ht="15.75" customHeight="1">
      <c r="A156" s="58"/>
      <c r="B156" s="32"/>
      <c r="C156" s="32"/>
      <c r="D156" s="32"/>
      <c r="E156" s="32"/>
      <c r="F156" s="32"/>
      <c r="G156" s="32"/>
      <c r="H156" s="32"/>
      <c r="I156" s="32"/>
      <c r="J156" s="59"/>
      <c r="K156" s="60"/>
    </row>
    <row r="157" ht="15.75" customHeight="1">
      <c r="A157" s="58"/>
      <c r="B157" s="32"/>
      <c r="C157" s="32"/>
      <c r="D157" s="32"/>
      <c r="E157" s="32"/>
      <c r="F157" s="32"/>
      <c r="G157" s="32"/>
      <c r="H157" s="32"/>
      <c r="I157" s="32"/>
      <c r="J157" s="59"/>
      <c r="K157" s="60"/>
    </row>
    <row r="158" ht="15.75" customHeight="1">
      <c r="A158" s="58"/>
      <c r="B158" s="32"/>
      <c r="C158" s="32"/>
      <c r="D158" s="32"/>
      <c r="E158" s="32"/>
      <c r="F158" s="32"/>
      <c r="G158" s="32"/>
      <c r="H158" s="32"/>
      <c r="I158" s="32"/>
      <c r="J158" s="59"/>
      <c r="K158" s="60"/>
    </row>
    <row r="159" ht="15.75" customHeight="1">
      <c r="A159" s="58"/>
      <c r="B159" s="32"/>
      <c r="C159" s="32"/>
      <c r="D159" s="32"/>
      <c r="E159" s="32"/>
      <c r="F159" s="32"/>
      <c r="G159" s="32"/>
      <c r="H159" s="32"/>
      <c r="I159" s="32"/>
      <c r="J159" s="59"/>
      <c r="K159" s="60"/>
    </row>
    <row r="160" ht="15.75" customHeight="1">
      <c r="A160" s="58"/>
      <c r="B160" s="32"/>
      <c r="C160" s="32"/>
      <c r="D160" s="32"/>
      <c r="E160" s="32"/>
      <c r="F160" s="32"/>
      <c r="G160" s="32"/>
      <c r="H160" s="32"/>
      <c r="I160" s="32"/>
      <c r="J160" s="59"/>
      <c r="K160" s="60"/>
    </row>
    <row r="161" ht="15.75" customHeight="1">
      <c r="A161" s="58"/>
      <c r="B161" s="32"/>
      <c r="C161" s="32"/>
      <c r="D161" s="32"/>
      <c r="E161" s="32"/>
      <c r="F161" s="32"/>
      <c r="G161" s="32"/>
      <c r="H161" s="32"/>
      <c r="I161" s="32"/>
      <c r="J161" s="59"/>
      <c r="K161" s="60"/>
    </row>
    <row r="162" ht="15.75" customHeight="1">
      <c r="A162" s="58"/>
      <c r="B162" s="32"/>
      <c r="C162" s="32"/>
      <c r="D162" s="32"/>
      <c r="E162" s="32"/>
      <c r="F162" s="32"/>
      <c r="G162" s="32"/>
      <c r="H162" s="32"/>
      <c r="I162" s="32"/>
      <c r="J162" s="59"/>
      <c r="K162" s="60"/>
    </row>
    <row r="163" ht="15.75" customHeight="1">
      <c r="A163" s="58"/>
      <c r="B163" s="32"/>
      <c r="C163" s="32"/>
      <c r="D163" s="32"/>
      <c r="E163" s="32"/>
      <c r="F163" s="32"/>
      <c r="G163" s="32"/>
      <c r="H163" s="32"/>
      <c r="I163" s="32"/>
      <c r="J163" s="59"/>
      <c r="K163" s="60"/>
    </row>
    <row r="164" ht="15.75" customHeight="1">
      <c r="A164" s="58"/>
      <c r="B164" s="32"/>
      <c r="C164" s="32"/>
      <c r="D164" s="32"/>
      <c r="E164" s="32"/>
      <c r="F164" s="32"/>
      <c r="G164" s="32"/>
      <c r="H164" s="32"/>
      <c r="I164" s="32"/>
      <c r="J164" s="59"/>
      <c r="K164" s="60"/>
    </row>
    <row r="165" ht="15.75" customHeight="1">
      <c r="A165" s="58"/>
      <c r="B165" s="32"/>
      <c r="C165" s="32"/>
      <c r="D165" s="32"/>
      <c r="E165" s="32"/>
      <c r="F165" s="32"/>
      <c r="G165" s="32"/>
      <c r="H165" s="32"/>
      <c r="I165" s="32"/>
      <c r="J165" s="59"/>
      <c r="K165" s="60"/>
    </row>
    <row r="166" ht="15.75" customHeight="1">
      <c r="A166" s="58"/>
      <c r="B166" s="32"/>
      <c r="C166" s="32"/>
      <c r="D166" s="32"/>
      <c r="E166" s="32"/>
      <c r="F166" s="32"/>
      <c r="G166" s="32"/>
      <c r="H166" s="32"/>
      <c r="I166" s="32"/>
      <c r="J166" s="59"/>
      <c r="K166" s="60"/>
    </row>
    <row r="167" ht="15.75" customHeight="1">
      <c r="A167" s="58"/>
      <c r="B167" s="32"/>
      <c r="C167" s="32"/>
      <c r="D167" s="32"/>
      <c r="E167" s="32"/>
      <c r="F167" s="32"/>
      <c r="G167" s="32"/>
      <c r="H167" s="32"/>
      <c r="I167" s="32"/>
      <c r="J167" s="59"/>
      <c r="K167" s="60"/>
    </row>
    <row r="168" ht="15.75" customHeight="1">
      <c r="A168" s="58"/>
      <c r="B168" s="32"/>
      <c r="C168" s="32"/>
      <c r="D168" s="32"/>
      <c r="E168" s="32"/>
      <c r="F168" s="32"/>
      <c r="G168" s="32"/>
      <c r="H168" s="32"/>
      <c r="I168" s="32"/>
      <c r="J168" s="59"/>
      <c r="K168" s="60"/>
    </row>
    <row r="169" ht="15.75" customHeight="1">
      <c r="A169" s="58"/>
      <c r="B169" s="32"/>
      <c r="C169" s="32"/>
      <c r="D169" s="32"/>
      <c r="E169" s="32"/>
      <c r="F169" s="32"/>
      <c r="G169" s="32"/>
      <c r="H169" s="32"/>
      <c r="I169" s="32"/>
      <c r="J169" s="59"/>
      <c r="K169" s="60"/>
    </row>
    <row r="170" ht="15.75" customHeight="1">
      <c r="A170" s="58"/>
      <c r="B170" s="32"/>
      <c r="C170" s="32"/>
      <c r="D170" s="32"/>
      <c r="E170" s="32"/>
      <c r="F170" s="32"/>
      <c r="G170" s="32"/>
      <c r="H170" s="32"/>
      <c r="I170" s="32"/>
      <c r="J170" s="59"/>
      <c r="K170" s="60"/>
    </row>
    <row r="171" ht="15.75" customHeight="1">
      <c r="A171" s="58"/>
      <c r="B171" s="32"/>
      <c r="C171" s="32"/>
      <c r="D171" s="32"/>
      <c r="E171" s="32"/>
      <c r="F171" s="32"/>
      <c r="G171" s="32"/>
      <c r="H171" s="32"/>
      <c r="I171" s="32"/>
      <c r="J171" s="59"/>
      <c r="K171" s="60"/>
    </row>
    <row r="172" ht="15.75" customHeight="1">
      <c r="A172" s="58"/>
      <c r="B172" s="32"/>
      <c r="C172" s="32"/>
      <c r="D172" s="32"/>
      <c r="E172" s="32"/>
      <c r="F172" s="32"/>
      <c r="G172" s="32"/>
      <c r="H172" s="32"/>
      <c r="I172" s="32"/>
      <c r="J172" s="59"/>
      <c r="K172" s="60"/>
    </row>
    <row r="173" ht="15.75" customHeight="1">
      <c r="A173" s="58"/>
      <c r="B173" s="32"/>
      <c r="C173" s="32"/>
      <c r="D173" s="32"/>
      <c r="E173" s="32"/>
      <c r="F173" s="32"/>
      <c r="G173" s="32"/>
      <c r="H173" s="32"/>
      <c r="I173" s="32"/>
      <c r="J173" s="59"/>
      <c r="K173" s="60"/>
    </row>
    <row r="174" ht="15.75" customHeight="1">
      <c r="A174" s="58"/>
      <c r="B174" s="32"/>
      <c r="C174" s="32"/>
      <c r="D174" s="32"/>
      <c r="E174" s="32"/>
      <c r="F174" s="32"/>
      <c r="G174" s="32"/>
      <c r="H174" s="32"/>
      <c r="I174" s="32"/>
      <c r="J174" s="59"/>
      <c r="K174" s="60"/>
    </row>
    <row r="175" ht="15.75" customHeight="1">
      <c r="A175" s="58"/>
      <c r="B175" s="32"/>
      <c r="C175" s="32"/>
      <c r="D175" s="32"/>
      <c r="E175" s="32"/>
      <c r="F175" s="32"/>
      <c r="G175" s="32"/>
      <c r="H175" s="32"/>
      <c r="I175" s="32"/>
      <c r="J175" s="59"/>
      <c r="K175" s="60"/>
    </row>
    <row r="176" ht="15.75" customHeight="1">
      <c r="A176" s="58"/>
      <c r="B176" s="32"/>
      <c r="C176" s="32"/>
      <c r="D176" s="32"/>
      <c r="E176" s="32"/>
      <c r="F176" s="32"/>
      <c r="G176" s="32"/>
      <c r="H176" s="32"/>
      <c r="I176" s="32"/>
      <c r="J176" s="59"/>
      <c r="K176" s="60"/>
    </row>
    <row r="177" ht="15.75" customHeight="1">
      <c r="A177" s="58"/>
      <c r="B177" s="32"/>
      <c r="C177" s="32"/>
      <c r="D177" s="32"/>
      <c r="E177" s="32"/>
      <c r="F177" s="32"/>
      <c r="G177" s="32"/>
      <c r="H177" s="32"/>
      <c r="I177" s="32"/>
      <c r="J177" s="59"/>
      <c r="K177" s="60"/>
    </row>
    <row r="178" ht="15.75" customHeight="1">
      <c r="A178" s="58"/>
      <c r="B178" s="32"/>
      <c r="C178" s="32"/>
      <c r="D178" s="32"/>
      <c r="E178" s="32"/>
      <c r="F178" s="32"/>
      <c r="G178" s="32"/>
      <c r="H178" s="32"/>
      <c r="I178" s="32"/>
      <c r="J178" s="59"/>
      <c r="K178" s="60"/>
    </row>
    <row r="179" ht="15.75" customHeight="1">
      <c r="A179" s="58"/>
      <c r="B179" s="32"/>
      <c r="C179" s="32"/>
      <c r="D179" s="32"/>
      <c r="E179" s="32"/>
      <c r="F179" s="32"/>
      <c r="G179" s="32"/>
      <c r="H179" s="32"/>
      <c r="I179" s="32"/>
      <c r="J179" s="59"/>
      <c r="K179" s="60"/>
    </row>
    <row r="180" ht="15.75" customHeight="1">
      <c r="A180" s="58"/>
      <c r="B180" s="32"/>
      <c r="C180" s="32"/>
      <c r="D180" s="32"/>
      <c r="E180" s="32"/>
      <c r="F180" s="32"/>
      <c r="G180" s="32"/>
      <c r="H180" s="32"/>
      <c r="I180" s="32"/>
      <c r="J180" s="59"/>
      <c r="K180" s="60"/>
    </row>
    <row r="181" ht="15.75" customHeight="1">
      <c r="A181" s="58"/>
      <c r="B181" s="32"/>
      <c r="C181" s="32"/>
      <c r="D181" s="32"/>
      <c r="E181" s="32"/>
      <c r="F181" s="32"/>
      <c r="G181" s="32"/>
      <c r="H181" s="32"/>
      <c r="I181" s="32"/>
      <c r="J181" s="59"/>
      <c r="K181" s="60"/>
    </row>
    <row r="182" ht="15.75" customHeight="1">
      <c r="A182" s="58"/>
      <c r="B182" s="32"/>
      <c r="C182" s="32"/>
      <c r="D182" s="32"/>
      <c r="E182" s="32"/>
      <c r="F182" s="32"/>
      <c r="G182" s="32"/>
      <c r="H182" s="32"/>
      <c r="I182" s="32"/>
      <c r="J182" s="59"/>
      <c r="K182" s="60"/>
    </row>
    <row r="183" ht="15.75" customHeight="1">
      <c r="A183" s="58"/>
      <c r="B183" s="32"/>
      <c r="C183" s="32"/>
      <c r="D183" s="32"/>
      <c r="E183" s="32"/>
      <c r="F183" s="32"/>
      <c r="G183" s="32"/>
      <c r="H183" s="32"/>
      <c r="I183" s="32"/>
      <c r="J183" s="59"/>
      <c r="K183" s="60"/>
    </row>
    <row r="184" ht="15.75" customHeight="1">
      <c r="A184" s="58"/>
      <c r="B184" s="32"/>
      <c r="C184" s="32"/>
      <c r="D184" s="32"/>
      <c r="E184" s="32"/>
      <c r="F184" s="32"/>
      <c r="G184" s="32"/>
      <c r="H184" s="32"/>
      <c r="I184" s="32"/>
      <c r="J184" s="59"/>
      <c r="K184" s="60"/>
    </row>
    <row r="185" ht="15.75" customHeight="1">
      <c r="A185" s="58"/>
      <c r="B185" s="32"/>
      <c r="C185" s="32"/>
      <c r="D185" s="32"/>
      <c r="E185" s="32"/>
      <c r="F185" s="32"/>
      <c r="G185" s="32"/>
      <c r="H185" s="32"/>
      <c r="I185" s="32"/>
      <c r="J185" s="59"/>
      <c r="K185" s="60"/>
    </row>
    <row r="186" ht="15.75" customHeight="1">
      <c r="A186" s="58"/>
      <c r="B186" s="32"/>
      <c r="C186" s="32"/>
      <c r="D186" s="32"/>
      <c r="E186" s="32"/>
      <c r="F186" s="32"/>
      <c r="G186" s="32"/>
      <c r="H186" s="32"/>
      <c r="I186" s="32"/>
      <c r="J186" s="59"/>
      <c r="K186" s="60"/>
    </row>
    <row r="187" ht="15.75" customHeight="1">
      <c r="A187" s="58"/>
      <c r="B187" s="32"/>
      <c r="C187" s="32"/>
      <c r="D187" s="32"/>
      <c r="E187" s="32"/>
      <c r="F187" s="32"/>
      <c r="G187" s="32"/>
      <c r="H187" s="32"/>
      <c r="I187" s="32"/>
      <c r="J187" s="59"/>
      <c r="K187" s="60"/>
    </row>
    <row r="188" ht="15.75" customHeight="1">
      <c r="A188" s="58"/>
      <c r="B188" s="32"/>
      <c r="C188" s="32"/>
      <c r="D188" s="32"/>
      <c r="E188" s="32"/>
      <c r="F188" s="32"/>
      <c r="G188" s="32"/>
      <c r="H188" s="32"/>
      <c r="I188" s="32"/>
      <c r="J188" s="59"/>
      <c r="K188" s="60"/>
    </row>
    <row r="189" ht="15.75" customHeight="1">
      <c r="A189" s="58"/>
      <c r="B189" s="32"/>
      <c r="C189" s="32"/>
      <c r="D189" s="32"/>
      <c r="E189" s="32"/>
      <c r="F189" s="32"/>
      <c r="G189" s="32"/>
      <c r="H189" s="32"/>
      <c r="I189" s="32"/>
      <c r="J189" s="59"/>
      <c r="K189" s="60"/>
    </row>
    <row r="190" ht="15.75" customHeight="1">
      <c r="A190" s="58"/>
      <c r="B190" s="32"/>
      <c r="C190" s="32"/>
      <c r="D190" s="32"/>
      <c r="E190" s="32"/>
      <c r="F190" s="32"/>
      <c r="G190" s="32"/>
      <c r="H190" s="32"/>
      <c r="I190" s="32"/>
      <c r="J190" s="59"/>
      <c r="K190" s="60"/>
    </row>
    <row r="191" ht="15.75" customHeight="1">
      <c r="A191" s="58"/>
      <c r="B191" s="32"/>
      <c r="C191" s="32"/>
      <c r="D191" s="32"/>
      <c r="E191" s="32"/>
      <c r="F191" s="32"/>
      <c r="G191" s="32"/>
      <c r="H191" s="32"/>
      <c r="I191" s="32"/>
      <c r="J191" s="59"/>
      <c r="K191" s="60"/>
    </row>
    <row r="192" ht="15.75" customHeight="1">
      <c r="A192" s="58"/>
      <c r="B192" s="32"/>
      <c r="C192" s="32"/>
      <c r="D192" s="32"/>
      <c r="E192" s="32"/>
      <c r="F192" s="32"/>
      <c r="G192" s="32"/>
      <c r="H192" s="32"/>
      <c r="I192" s="32"/>
      <c r="J192" s="59"/>
      <c r="K192" s="60"/>
    </row>
    <row r="193" ht="15.75" customHeight="1">
      <c r="A193" s="58"/>
      <c r="B193" s="32"/>
      <c r="C193" s="32"/>
      <c r="D193" s="32"/>
      <c r="E193" s="32"/>
      <c r="F193" s="32"/>
      <c r="G193" s="32"/>
      <c r="H193" s="32"/>
      <c r="I193" s="32"/>
      <c r="J193" s="59"/>
      <c r="K193" s="60"/>
    </row>
    <row r="194" ht="15.75" customHeight="1">
      <c r="A194" s="58"/>
      <c r="B194" s="32"/>
      <c r="C194" s="32"/>
      <c r="D194" s="32"/>
      <c r="E194" s="32"/>
      <c r="F194" s="32"/>
      <c r="G194" s="32"/>
      <c r="H194" s="32"/>
      <c r="I194" s="32"/>
      <c r="J194" s="59"/>
      <c r="K194" s="60"/>
    </row>
    <row r="195" ht="15.75" customHeight="1">
      <c r="A195" s="58"/>
      <c r="B195" s="32"/>
      <c r="C195" s="32"/>
      <c r="D195" s="32"/>
      <c r="E195" s="32"/>
      <c r="F195" s="32"/>
      <c r="G195" s="32"/>
      <c r="H195" s="32"/>
      <c r="I195" s="32"/>
      <c r="J195" s="59"/>
      <c r="K195" s="60"/>
    </row>
    <row r="196" ht="15.75" customHeight="1">
      <c r="A196" s="58"/>
      <c r="B196" s="32"/>
      <c r="C196" s="32"/>
      <c r="D196" s="32"/>
      <c r="E196" s="32"/>
      <c r="F196" s="32"/>
      <c r="G196" s="32"/>
      <c r="H196" s="32"/>
      <c r="I196" s="32"/>
      <c r="J196" s="59"/>
      <c r="K196" s="60"/>
    </row>
    <row r="197" ht="15.75" customHeight="1">
      <c r="A197" s="58"/>
      <c r="B197" s="32"/>
      <c r="C197" s="32"/>
      <c r="D197" s="32"/>
      <c r="E197" s="32"/>
      <c r="F197" s="32"/>
      <c r="G197" s="32"/>
      <c r="H197" s="32"/>
      <c r="I197" s="32"/>
      <c r="J197" s="59"/>
      <c r="K197" s="60"/>
    </row>
    <row r="198" ht="15.75" customHeight="1">
      <c r="A198" s="58"/>
      <c r="B198" s="32"/>
      <c r="C198" s="32"/>
      <c r="D198" s="32"/>
      <c r="E198" s="32"/>
      <c r="F198" s="32"/>
      <c r="G198" s="32"/>
      <c r="H198" s="32"/>
      <c r="I198" s="32"/>
      <c r="J198" s="59"/>
      <c r="K198" s="60"/>
    </row>
    <row r="199" ht="15.75" customHeight="1">
      <c r="A199" s="58"/>
      <c r="B199" s="32"/>
      <c r="C199" s="32"/>
      <c r="D199" s="32"/>
      <c r="E199" s="32"/>
      <c r="F199" s="32"/>
      <c r="G199" s="32"/>
      <c r="H199" s="32"/>
      <c r="I199" s="32"/>
      <c r="J199" s="59"/>
      <c r="K199" s="60"/>
    </row>
    <row r="200" ht="15.75" customHeight="1">
      <c r="A200" s="58"/>
      <c r="B200" s="32"/>
      <c r="C200" s="32"/>
      <c r="D200" s="32"/>
      <c r="E200" s="32"/>
      <c r="F200" s="32"/>
      <c r="G200" s="32"/>
      <c r="H200" s="32"/>
      <c r="I200" s="32"/>
      <c r="J200" s="59"/>
      <c r="K200" s="60"/>
    </row>
    <row r="201" ht="15.75" customHeight="1">
      <c r="A201" s="58"/>
      <c r="B201" s="32"/>
      <c r="C201" s="32"/>
      <c r="D201" s="32"/>
      <c r="E201" s="32"/>
      <c r="F201" s="32"/>
      <c r="G201" s="32"/>
      <c r="H201" s="32"/>
      <c r="I201" s="32"/>
      <c r="J201" s="59"/>
      <c r="K201" s="60"/>
    </row>
    <row r="202" ht="15.75" customHeight="1">
      <c r="A202" s="58"/>
      <c r="B202" s="32"/>
      <c r="C202" s="32"/>
      <c r="D202" s="32"/>
      <c r="E202" s="32"/>
      <c r="F202" s="32"/>
      <c r="G202" s="32"/>
      <c r="H202" s="32"/>
      <c r="I202" s="32"/>
      <c r="J202" s="59"/>
      <c r="K202" s="60"/>
    </row>
    <row r="203" ht="15.75" customHeight="1">
      <c r="A203" s="58"/>
      <c r="B203" s="32"/>
      <c r="C203" s="32"/>
      <c r="D203" s="32"/>
      <c r="E203" s="32"/>
      <c r="F203" s="32"/>
      <c r="G203" s="32"/>
      <c r="H203" s="32"/>
      <c r="I203" s="32"/>
      <c r="J203" s="59"/>
      <c r="K203" s="60"/>
    </row>
    <row r="204" ht="15.75" customHeight="1">
      <c r="A204" s="58"/>
      <c r="B204" s="32"/>
      <c r="C204" s="32"/>
      <c r="D204" s="32"/>
      <c r="E204" s="32"/>
      <c r="F204" s="32"/>
      <c r="G204" s="32"/>
      <c r="H204" s="32"/>
      <c r="I204" s="32"/>
      <c r="J204" s="59"/>
      <c r="K204" s="60"/>
    </row>
    <row r="205" ht="15.75" customHeight="1">
      <c r="A205" s="58"/>
      <c r="B205" s="32"/>
      <c r="C205" s="32"/>
      <c r="D205" s="32"/>
      <c r="E205" s="32"/>
      <c r="F205" s="32"/>
      <c r="G205" s="32"/>
      <c r="H205" s="32"/>
      <c r="I205" s="32"/>
      <c r="J205" s="59"/>
      <c r="K205" s="60"/>
    </row>
    <row r="206" ht="15.75" customHeight="1">
      <c r="A206" s="58"/>
      <c r="B206" s="32"/>
      <c r="C206" s="32"/>
      <c r="D206" s="32"/>
      <c r="E206" s="32"/>
      <c r="F206" s="32"/>
      <c r="G206" s="32"/>
      <c r="H206" s="32"/>
      <c r="I206" s="32"/>
      <c r="J206" s="59"/>
      <c r="K206" s="60"/>
    </row>
    <row r="207" ht="15.75" customHeight="1">
      <c r="A207" s="58"/>
      <c r="B207" s="32"/>
      <c r="C207" s="32"/>
      <c r="D207" s="32"/>
      <c r="E207" s="32"/>
      <c r="F207" s="32"/>
      <c r="G207" s="32"/>
      <c r="H207" s="32"/>
      <c r="I207" s="32"/>
      <c r="J207" s="59"/>
      <c r="K207" s="60"/>
    </row>
    <row r="208" ht="15.75" customHeight="1">
      <c r="A208" s="58"/>
      <c r="B208" s="32"/>
      <c r="C208" s="32"/>
      <c r="D208" s="32"/>
      <c r="E208" s="32"/>
      <c r="F208" s="32"/>
      <c r="G208" s="32"/>
      <c r="H208" s="32"/>
      <c r="I208" s="32"/>
      <c r="J208" s="59"/>
      <c r="K208" s="60"/>
    </row>
    <row r="209" ht="15.75" customHeight="1">
      <c r="A209" s="58"/>
      <c r="B209" s="32"/>
      <c r="C209" s="32"/>
      <c r="D209" s="32"/>
      <c r="E209" s="32"/>
      <c r="F209" s="32"/>
      <c r="G209" s="32"/>
      <c r="H209" s="32"/>
      <c r="I209" s="32"/>
      <c r="J209" s="59"/>
      <c r="K209" s="60"/>
    </row>
    <row r="210" ht="15.75" customHeight="1">
      <c r="A210" s="58"/>
      <c r="B210" s="32"/>
      <c r="C210" s="32"/>
      <c r="D210" s="32"/>
      <c r="E210" s="32"/>
      <c r="F210" s="32"/>
      <c r="G210" s="32"/>
      <c r="H210" s="32"/>
      <c r="I210" s="32"/>
      <c r="J210" s="59"/>
      <c r="K210" s="60"/>
    </row>
    <row r="211" ht="15.75" customHeight="1">
      <c r="A211" s="58"/>
      <c r="B211" s="32"/>
      <c r="C211" s="32"/>
      <c r="D211" s="32"/>
      <c r="E211" s="32"/>
      <c r="F211" s="32"/>
      <c r="G211" s="32"/>
      <c r="H211" s="32"/>
      <c r="I211" s="32"/>
      <c r="J211" s="59"/>
      <c r="K211" s="60"/>
    </row>
    <row r="212" ht="15.75" customHeight="1">
      <c r="A212" s="58"/>
      <c r="B212" s="32"/>
      <c r="C212" s="32"/>
      <c r="D212" s="32"/>
      <c r="E212" s="32"/>
      <c r="F212" s="32"/>
      <c r="G212" s="32"/>
      <c r="H212" s="32"/>
      <c r="I212" s="32"/>
      <c r="J212" s="59"/>
      <c r="K212" s="60"/>
    </row>
    <row r="213" ht="15.75" customHeight="1">
      <c r="A213" s="58"/>
      <c r="B213" s="32"/>
      <c r="C213" s="32"/>
      <c r="D213" s="32"/>
      <c r="E213" s="32"/>
      <c r="F213" s="32"/>
      <c r="G213" s="32"/>
      <c r="H213" s="32"/>
      <c r="I213" s="32"/>
      <c r="J213" s="59"/>
      <c r="K213" s="60"/>
    </row>
    <row r="214" ht="15.75" customHeight="1">
      <c r="A214" s="58"/>
      <c r="B214" s="32"/>
      <c r="C214" s="32"/>
      <c r="D214" s="32"/>
      <c r="E214" s="32"/>
      <c r="F214" s="32"/>
      <c r="G214" s="32"/>
      <c r="H214" s="32"/>
      <c r="I214" s="32"/>
      <c r="J214" s="59"/>
      <c r="K214" s="60"/>
    </row>
    <row r="215" ht="15.75" customHeight="1">
      <c r="A215" s="58"/>
      <c r="B215" s="32"/>
      <c r="C215" s="32"/>
      <c r="D215" s="32"/>
      <c r="E215" s="32"/>
      <c r="F215" s="32"/>
      <c r="G215" s="32"/>
      <c r="H215" s="32"/>
      <c r="I215" s="32"/>
      <c r="J215" s="59"/>
      <c r="K215" s="60"/>
    </row>
    <row r="216" ht="15.75" customHeight="1">
      <c r="A216" s="58"/>
      <c r="B216" s="32"/>
      <c r="C216" s="32"/>
      <c r="D216" s="32"/>
      <c r="E216" s="32"/>
      <c r="F216" s="32"/>
      <c r="G216" s="32"/>
      <c r="H216" s="32"/>
      <c r="I216" s="32"/>
      <c r="J216" s="59"/>
      <c r="K216" s="60"/>
    </row>
    <row r="217" ht="15.75" customHeight="1">
      <c r="A217" s="58"/>
      <c r="B217" s="32"/>
      <c r="C217" s="32"/>
      <c r="D217" s="32"/>
      <c r="E217" s="32"/>
      <c r="F217" s="32"/>
      <c r="G217" s="32"/>
      <c r="H217" s="32"/>
      <c r="I217" s="32"/>
      <c r="J217" s="59"/>
      <c r="K217" s="60"/>
    </row>
    <row r="218" ht="15.75" customHeight="1">
      <c r="A218" s="58"/>
      <c r="B218" s="32"/>
      <c r="C218" s="32"/>
      <c r="D218" s="32"/>
      <c r="E218" s="32"/>
      <c r="F218" s="32"/>
      <c r="G218" s="32"/>
      <c r="H218" s="32"/>
      <c r="I218" s="32"/>
      <c r="J218" s="59"/>
      <c r="K218" s="60"/>
    </row>
    <row r="219" ht="15.75" customHeight="1">
      <c r="A219" s="58"/>
      <c r="B219" s="32"/>
      <c r="C219" s="32"/>
      <c r="D219" s="32"/>
      <c r="E219" s="32"/>
      <c r="F219" s="32"/>
      <c r="G219" s="32"/>
      <c r="H219" s="32"/>
      <c r="I219" s="32"/>
      <c r="J219" s="59"/>
      <c r="K219" s="60"/>
    </row>
    <row r="220" ht="15.75" customHeight="1">
      <c r="A220" s="58"/>
      <c r="B220" s="32"/>
      <c r="C220" s="32"/>
      <c r="D220" s="32"/>
      <c r="E220" s="32"/>
      <c r="F220" s="32"/>
      <c r="G220" s="32"/>
      <c r="H220" s="32"/>
      <c r="I220" s="32"/>
      <c r="J220" s="59"/>
      <c r="K220" s="60"/>
    </row>
    <row r="221" ht="15.75" customHeight="1">
      <c r="A221" s="58"/>
      <c r="B221" s="32"/>
      <c r="C221" s="32"/>
      <c r="D221" s="32"/>
      <c r="E221" s="32"/>
      <c r="F221" s="32"/>
      <c r="G221" s="32"/>
      <c r="H221" s="32"/>
      <c r="I221" s="32"/>
      <c r="J221" s="59"/>
      <c r="K221" s="60"/>
    </row>
    <row r="222" ht="15.75" customHeight="1">
      <c r="A222" s="58"/>
      <c r="B222" s="32"/>
      <c r="C222" s="32"/>
      <c r="D222" s="32"/>
      <c r="E222" s="32"/>
      <c r="F222" s="32"/>
      <c r="G222" s="32"/>
      <c r="H222" s="32"/>
      <c r="I222" s="32"/>
      <c r="J222" s="59"/>
      <c r="K222" s="60"/>
    </row>
    <row r="223" ht="15.75" customHeight="1">
      <c r="A223" s="58"/>
      <c r="B223" s="32"/>
      <c r="C223" s="32"/>
      <c r="D223" s="32"/>
      <c r="E223" s="32"/>
      <c r="F223" s="32"/>
      <c r="G223" s="32"/>
      <c r="H223" s="32"/>
      <c r="I223" s="32"/>
      <c r="J223" s="59"/>
      <c r="K223" s="60"/>
    </row>
    <row r="224" ht="15.75" customHeight="1">
      <c r="A224" s="58"/>
      <c r="B224" s="32"/>
      <c r="C224" s="32"/>
      <c r="D224" s="32"/>
      <c r="E224" s="32"/>
      <c r="F224" s="32"/>
      <c r="G224" s="32"/>
      <c r="H224" s="32"/>
      <c r="I224" s="32"/>
      <c r="J224" s="59"/>
      <c r="K224" s="60"/>
    </row>
    <row r="225" ht="15.75" customHeight="1">
      <c r="A225" s="58"/>
      <c r="B225" s="32"/>
      <c r="C225" s="32"/>
      <c r="D225" s="32"/>
      <c r="E225" s="32"/>
      <c r="F225" s="32"/>
      <c r="G225" s="32"/>
      <c r="H225" s="32"/>
      <c r="I225" s="32"/>
      <c r="J225" s="59"/>
      <c r="K225" s="60"/>
    </row>
    <row r="226" ht="15.75" customHeight="1">
      <c r="A226" s="58"/>
      <c r="B226" s="32"/>
      <c r="C226" s="32"/>
      <c r="D226" s="32"/>
      <c r="E226" s="32"/>
      <c r="F226" s="32"/>
      <c r="G226" s="32"/>
      <c r="H226" s="32"/>
      <c r="I226" s="32"/>
      <c r="J226" s="59"/>
      <c r="K226" s="60"/>
    </row>
    <row r="227" ht="15.75" customHeight="1">
      <c r="A227" s="58"/>
      <c r="B227" s="32"/>
      <c r="C227" s="32"/>
      <c r="D227" s="32"/>
      <c r="E227" s="32"/>
      <c r="F227" s="32"/>
      <c r="G227" s="32"/>
      <c r="H227" s="32"/>
      <c r="I227" s="32"/>
      <c r="J227" s="59"/>
      <c r="K227" s="60"/>
    </row>
    <row r="228" ht="15.75" customHeight="1">
      <c r="A228" s="58"/>
      <c r="B228" s="32"/>
      <c r="C228" s="32"/>
      <c r="D228" s="32"/>
      <c r="E228" s="32"/>
      <c r="F228" s="32"/>
      <c r="G228" s="32"/>
      <c r="H228" s="32"/>
      <c r="I228" s="32"/>
      <c r="J228" s="59"/>
      <c r="K228" s="60"/>
    </row>
    <row r="229" ht="15.75" customHeight="1">
      <c r="A229" s="58"/>
      <c r="B229" s="32"/>
      <c r="C229" s="32"/>
      <c r="D229" s="32"/>
      <c r="E229" s="32"/>
      <c r="F229" s="32"/>
      <c r="G229" s="32"/>
      <c r="H229" s="32"/>
      <c r="I229" s="32"/>
      <c r="J229" s="59"/>
      <c r="K229" s="60"/>
    </row>
    <row r="230" ht="15.75" customHeight="1">
      <c r="A230" s="58"/>
      <c r="B230" s="32"/>
      <c r="C230" s="32"/>
      <c r="D230" s="32"/>
      <c r="E230" s="32"/>
      <c r="F230" s="32"/>
      <c r="G230" s="32"/>
      <c r="H230" s="32"/>
      <c r="I230" s="32"/>
      <c r="J230" s="59"/>
      <c r="K230" s="60"/>
    </row>
    <row r="231" ht="15.75" customHeight="1">
      <c r="A231" s="58"/>
      <c r="B231" s="32"/>
      <c r="C231" s="32"/>
      <c r="D231" s="32"/>
      <c r="E231" s="32"/>
      <c r="F231" s="32"/>
      <c r="G231" s="32"/>
      <c r="H231" s="32"/>
      <c r="I231" s="32"/>
      <c r="J231" s="59"/>
      <c r="K231" s="60"/>
    </row>
    <row r="232" ht="15.75" customHeight="1">
      <c r="A232" s="58"/>
      <c r="B232" s="32"/>
      <c r="C232" s="32"/>
      <c r="D232" s="32"/>
      <c r="E232" s="32"/>
      <c r="F232" s="32"/>
      <c r="G232" s="32"/>
      <c r="H232" s="32"/>
      <c r="I232" s="32"/>
      <c r="J232" s="59"/>
      <c r="K232" s="60"/>
    </row>
    <row r="233" ht="15.75" customHeight="1">
      <c r="A233" s="58"/>
      <c r="B233" s="32"/>
      <c r="C233" s="32"/>
      <c r="D233" s="32"/>
      <c r="E233" s="32"/>
      <c r="F233" s="32"/>
      <c r="G233" s="32"/>
      <c r="H233" s="32"/>
      <c r="I233" s="32"/>
      <c r="J233" s="59"/>
      <c r="K233" s="60"/>
    </row>
    <row r="234" ht="15.75" customHeight="1">
      <c r="A234" s="58"/>
      <c r="B234" s="32"/>
      <c r="C234" s="32"/>
      <c r="D234" s="32"/>
      <c r="E234" s="32"/>
      <c r="F234" s="32"/>
      <c r="G234" s="32"/>
      <c r="H234" s="32"/>
      <c r="I234" s="32"/>
      <c r="J234" s="59"/>
      <c r="K234" s="60"/>
    </row>
    <row r="235" ht="15.75" customHeight="1">
      <c r="A235" s="58"/>
      <c r="B235" s="32"/>
      <c r="C235" s="32"/>
      <c r="D235" s="32"/>
      <c r="E235" s="32"/>
      <c r="F235" s="32"/>
      <c r="G235" s="32"/>
      <c r="H235" s="32"/>
      <c r="I235" s="32"/>
      <c r="J235" s="59"/>
      <c r="K235" s="60"/>
    </row>
    <row r="236" ht="15.75" customHeight="1">
      <c r="A236" s="58"/>
      <c r="B236" s="32"/>
      <c r="C236" s="32"/>
      <c r="D236" s="32"/>
      <c r="E236" s="32"/>
      <c r="F236" s="32"/>
      <c r="G236" s="32"/>
      <c r="H236" s="32"/>
      <c r="I236" s="32"/>
      <c r="J236" s="59"/>
      <c r="K236" s="60"/>
    </row>
    <row r="237" ht="15.75" customHeight="1">
      <c r="A237" s="58"/>
      <c r="B237" s="32"/>
      <c r="C237" s="32"/>
      <c r="D237" s="32"/>
      <c r="E237" s="32"/>
      <c r="F237" s="32"/>
      <c r="G237" s="32"/>
      <c r="H237" s="32"/>
      <c r="I237" s="32"/>
      <c r="J237" s="59"/>
      <c r="K237" s="60"/>
    </row>
    <row r="238" ht="15.75" customHeight="1">
      <c r="A238" s="58"/>
      <c r="B238" s="32"/>
      <c r="C238" s="32"/>
      <c r="D238" s="32"/>
      <c r="E238" s="32"/>
      <c r="F238" s="32"/>
      <c r="G238" s="32"/>
      <c r="H238" s="32"/>
      <c r="I238" s="32"/>
      <c r="J238" s="59"/>
      <c r="K238" s="60"/>
    </row>
    <row r="239" ht="15.75" customHeight="1">
      <c r="A239" s="58"/>
      <c r="B239" s="32"/>
      <c r="C239" s="32"/>
      <c r="D239" s="32"/>
      <c r="E239" s="32"/>
      <c r="F239" s="32"/>
      <c r="G239" s="32"/>
      <c r="H239" s="32"/>
      <c r="I239" s="32"/>
      <c r="J239" s="59"/>
      <c r="K239" s="60"/>
    </row>
    <row r="240" ht="15.75" customHeight="1">
      <c r="A240" s="58"/>
      <c r="B240" s="32"/>
      <c r="C240" s="32"/>
      <c r="D240" s="32"/>
      <c r="E240" s="32"/>
      <c r="F240" s="32"/>
      <c r="G240" s="32"/>
      <c r="H240" s="32"/>
      <c r="I240" s="32"/>
      <c r="J240" s="59"/>
      <c r="K240" s="60"/>
    </row>
    <row r="241" ht="15.75" customHeight="1">
      <c r="A241" s="58"/>
      <c r="B241" s="32"/>
      <c r="C241" s="32"/>
      <c r="D241" s="32"/>
      <c r="E241" s="32"/>
      <c r="F241" s="32"/>
      <c r="G241" s="32"/>
      <c r="H241" s="32"/>
      <c r="I241" s="32"/>
      <c r="J241" s="59"/>
      <c r="K241" s="60"/>
    </row>
    <row r="242" ht="15.75" customHeight="1">
      <c r="A242" s="58"/>
      <c r="B242" s="32"/>
      <c r="C242" s="32"/>
      <c r="D242" s="32"/>
      <c r="E242" s="32"/>
      <c r="F242" s="32"/>
      <c r="G242" s="32"/>
      <c r="H242" s="32"/>
      <c r="I242" s="32"/>
      <c r="J242" s="59"/>
      <c r="K242" s="60"/>
    </row>
    <row r="243" ht="15.75" customHeight="1">
      <c r="A243" s="58"/>
      <c r="B243" s="32"/>
      <c r="C243" s="32"/>
      <c r="D243" s="32"/>
      <c r="E243" s="32"/>
      <c r="F243" s="32"/>
      <c r="G243" s="32"/>
      <c r="H243" s="32"/>
      <c r="I243" s="32"/>
      <c r="J243" s="59"/>
      <c r="K243" s="60"/>
    </row>
    <row r="244" ht="15.75" customHeight="1">
      <c r="A244" s="58"/>
      <c r="B244" s="32"/>
      <c r="C244" s="32"/>
      <c r="D244" s="32"/>
      <c r="E244" s="32"/>
      <c r="F244" s="32"/>
      <c r="G244" s="32"/>
      <c r="H244" s="32"/>
      <c r="I244" s="32"/>
      <c r="J244" s="59"/>
      <c r="K244" s="60"/>
    </row>
    <row r="245" ht="15.75" customHeight="1">
      <c r="A245" s="58"/>
      <c r="B245" s="32"/>
      <c r="C245" s="32"/>
      <c r="D245" s="32"/>
      <c r="E245" s="32"/>
      <c r="F245" s="32"/>
      <c r="G245" s="32"/>
      <c r="H245" s="32"/>
      <c r="I245" s="32"/>
      <c r="J245" s="59"/>
      <c r="K245" s="60"/>
    </row>
    <row r="246" ht="15.75" customHeight="1">
      <c r="A246" s="58"/>
      <c r="B246" s="32"/>
      <c r="C246" s="32"/>
      <c r="D246" s="32"/>
      <c r="E246" s="32"/>
      <c r="F246" s="32"/>
      <c r="G246" s="32"/>
      <c r="H246" s="32"/>
      <c r="I246" s="32"/>
      <c r="J246" s="59"/>
      <c r="K246" s="60"/>
    </row>
    <row r="247" ht="15.75" customHeight="1">
      <c r="A247" s="58"/>
      <c r="B247" s="32"/>
      <c r="C247" s="32"/>
      <c r="D247" s="32"/>
      <c r="E247" s="32"/>
      <c r="F247" s="32"/>
      <c r="G247" s="32"/>
      <c r="H247" s="32"/>
      <c r="I247" s="32"/>
      <c r="J247" s="59"/>
      <c r="K247" s="60"/>
    </row>
    <row r="248" ht="15.75" customHeight="1">
      <c r="A248" s="58"/>
      <c r="B248" s="32"/>
      <c r="C248" s="32"/>
      <c r="D248" s="32"/>
      <c r="E248" s="32"/>
      <c r="F248" s="32"/>
      <c r="G248" s="32"/>
      <c r="H248" s="32"/>
      <c r="I248" s="32"/>
      <c r="J248" s="59"/>
      <c r="K248" s="60"/>
    </row>
    <row r="249" ht="15.75" customHeight="1">
      <c r="A249" s="58"/>
      <c r="B249" s="32"/>
      <c r="C249" s="32"/>
      <c r="D249" s="32"/>
      <c r="E249" s="32"/>
      <c r="F249" s="32"/>
      <c r="G249" s="32"/>
      <c r="H249" s="32"/>
      <c r="I249" s="32"/>
      <c r="J249" s="59"/>
      <c r="K249" s="60"/>
    </row>
    <row r="250" ht="15.75" customHeight="1">
      <c r="A250" s="58"/>
      <c r="B250" s="32"/>
      <c r="C250" s="32"/>
      <c r="D250" s="32"/>
      <c r="E250" s="32"/>
      <c r="F250" s="32"/>
      <c r="G250" s="32"/>
      <c r="H250" s="32"/>
      <c r="I250" s="32"/>
      <c r="J250" s="59"/>
      <c r="K250" s="60"/>
    </row>
    <row r="251" ht="15.75" customHeight="1">
      <c r="A251" s="58"/>
      <c r="B251" s="32"/>
      <c r="C251" s="32"/>
      <c r="D251" s="32"/>
      <c r="E251" s="32"/>
      <c r="F251" s="32"/>
      <c r="G251" s="32"/>
      <c r="H251" s="32"/>
      <c r="I251" s="32"/>
      <c r="J251" s="59"/>
      <c r="K251" s="60"/>
    </row>
    <row r="252" ht="15.75" customHeight="1">
      <c r="A252" s="58"/>
      <c r="B252" s="32"/>
      <c r="C252" s="32"/>
      <c r="D252" s="32"/>
      <c r="E252" s="32"/>
      <c r="F252" s="32"/>
      <c r="G252" s="32"/>
      <c r="H252" s="32"/>
      <c r="I252" s="32"/>
      <c r="J252" s="59"/>
      <c r="K252" s="60"/>
    </row>
    <row r="253" ht="15.75" customHeight="1">
      <c r="A253" s="58"/>
      <c r="B253" s="32"/>
      <c r="C253" s="32"/>
      <c r="D253" s="32"/>
      <c r="E253" s="32"/>
      <c r="F253" s="32"/>
      <c r="G253" s="32"/>
      <c r="H253" s="32"/>
      <c r="I253" s="32"/>
      <c r="J253" s="59"/>
      <c r="K253" s="60"/>
    </row>
    <row r="254" ht="15.75" customHeight="1">
      <c r="A254" s="58"/>
      <c r="B254" s="32"/>
      <c r="C254" s="32"/>
      <c r="D254" s="32"/>
      <c r="E254" s="32"/>
      <c r="F254" s="32"/>
      <c r="G254" s="32"/>
      <c r="H254" s="32"/>
      <c r="I254" s="32"/>
      <c r="J254" s="59"/>
      <c r="K254" s="60"/>
    </row>
    <row r="255" ht="15.75" customHeight="1">
      <c r="A255" s="58"/>
      <c r="B255" s="32"/>
      <c r="C255" s="32"/>
      <c r="D255" s="32"/>
      <c r="E255" s="32"/>
      <c r="F255" s="32"/>
      <c r="G255" s="32"/>
      <c r="H255" s="32"/>
      <c r="I255" s="32"/>
      <c r="J255" s="59"/>
      <c r="K255" s="60"/>
    </row>
    <row r="256" ht="15.75" customHeight="1">
      <c r="A256" s="58"/>
      <c r="B256" s="32"/>
      <c r="C256" s="32"/>
      <c r="D256" s="32"/>
      <c r="E256" s="32"/>
      <c r="F256" s="32"/>
      <c r="G256" s="32"/>
      <c r="H256" s="32"/>
      <c r="I256" s="32"/>
      <c r="J256" s="59"/>
      <c r="K256" s="60"/>
    </row>
    <row r="257" ht="15.75" customHeight="1">
      <c r="A257" s="58"/>
      <c r="B257" s="32"/>
      <c r="C257" s="32"/>
      <c r="D257" s="32"/>
      <c r="E257" s="32"/>
      <c r="F257" s="32"/>
      <c r="G257" s="32"/>
      <c r="H257" s="32"/>
      <c r="I257" s="32"/>
      <c r="J257" s="59"/>
      <c r="K257" s="60"/>
    </row>
    <row r="258" ht="15.75" customHeight="1">
      <c r="A258" s="58"/>
      <c r="B258" s="32"/>
      <c r="C258" s="32"/>
      <c r="D258" s="32"/>
      <c r="E258" s="32"/>
      <c r="F258" s="32"/>
      <c r="G258" s="32"/>
      <c r="H258" s="32"/>
      <c r="I258" s="32"/>
      <c r="J258" s="59"/>
      <c r="K258" s="60"/>
    </row>
    <row r="259" ht="15.75" customHeight="1">
      <c r="A259" s="58"/>
      <c r="B259" s="32"/>
      <c r="C259" s="32"/>
      <c r="D259" s="32"/>
      <c r="E259" s="32"/>
      <c r="F259" s="32"/>
      <c r="G259" s="32"/>
      <c r="H259" s="32"/>
      <c r="I259" s="32"/>
      <c r="J259" s="59"/>
      <c r="K259" s="60"/>
    </row>
    <row r="260" ht="15.75" customHeight="1">
      <c r="A260" s="58"/>
      <c r="B260" s="32"/>
      <c r="C260" s="32"/>
      <c r="D260" s="32"/>
      <c r="E260" s="32"/>
      <c r="F260" s="32"/>
      <c r="G260" s="32"/>
      <c r="H260" s="32"/>
      <c r="I260" s="32"/>
      <c r="J260" s="59"/>
      <c r="K260" s="60"/>
    </row>
    <row r="261" ht="15.75" customHeight="1">
      <c r="A261" s="58"/>
      <c r="B261" s="32"/>
      <c r="C261" s="32"/>
      <c r="D261" s="32"/>
      <c r="E261" s="32"/>
      <c r="F261" s="32"/>
      <c r="G261" s="32"/>
      <c r="H261" s="32"/>
      <c r="I261" s="32"/>
      <c r="J261" s="59"/>
      <c r="K261" s="60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.25"/>
    <col customWidth="1" min="3" max="3" width="6.63"/>
    <col customWidth="1" min="4" max="4" width="5.0"/>
    <col customWidth="1" min="5" max="6" width="4.0"/>
    <col customWidth="1" min="7" max="7" width="4.88"/>
    <col customWidth="1" min="8" max="8" width="8.13"/>
    <col customWidth="1" min="9" max="9" width="4.75"/>
    <col customWidth="1" min="10" max="26" width="8.75"/>
  </cols>
  <sheetData>
    <row r="1">
      <c r="A1" s="43" t="s">
        <v>523</v>
      </c>
      <c r="B1" s="43" t="s">
        <v>91</v>
      </c>
      <c r="C1" s="43" t="s">
        <v>32</v>
      </c>
      <c r="D1" s="43" t="s">
        <v>5</v>
      </c>
      <c r="E1" s="43" t="s">
        <v>524</v>
      </c>
      <c r="F1" s="43" t="s">
        <v>525</v>
      </c>
      <c r="G1" s="43" t="s">
        <v>526</v>
      </c>
      <c r="H1" s="43" t="s">
        <v>527</v>
      </c>
      <c r="I1" s="43" t="s">
        <v>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0.0"/>
    <col customWidth="1" min="2" max="6" width="8.75"/>
  </cols>
  <sheetData>
    <row r="1">
      <c r="A1" s="61" t="s">
        <v>528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62" t="s">
        <v>529</v>
      </c>
    </row>
    <row r="3">
      <c r="A3" s="62" t="s">
        <v>530</v>
      </c>
    </row>
    <row r="4">
      <c r="A4" s="62" t="s">
        <v>531</v>
      </c>
    </row>
    <row r="5">
      <c r="A5" s="62"/>
    </row>
    <row r="6">
      <c r="A6" s="62" t="s">
        <v>532</v>
      </c>
    </row>
    <row r="7">
      <c r="A7" s="63" t="s">
        <v>533</v>
      </c>
    </row>
    <row r="8">
      <c r="A8" s="62" t="s">
        <v>534</v>
      </c>
    </row>
    <row r="9">
      <c r="A9" s="62" t="s">
        <v>535</v>
      </c>
    </row>
    <row r="10">
      <c r="A10" s="62" t="s">
        <v>536</v>
      </c>
    </row>
    <row r="11">
      <c r="A11" s="62" t="s">
        <v>537</v>
      </c>
    </row>
    <row r="12">
      <c r="A12" s="62" t="s">
        <v>538</v>
      </c>
    </row>
    <row r="13">
      <c r="A13" s="62" t="s">
        <v>539</v>
      </c>
    </row>
    <row r="14">
      <c r="A14" s="62" t="s">
        <v>540</v>
      </c>
    </row>
    <row r="15">
      <c r="A15" s="62" t="s">
        <v>536</v>
      </c>
    </row>
    <row r="16">
      <c r="A16" s="62" t="s">
        <v>541</v>
      </c>
    </row>
    <row r="17">
      <c r="A17" s="62" t="s">
        <v>542</v>
      </c>
    </row>
    <row r="18">
      <c r="A18" s="62" t="s">
        <v>543</v>
      </c>
    </row>
    <row r="19">
      <c r="A19" s="62" t="s">
        <v>544</v>
      </c>
    </row>
    <row r="20">
      <c r="A20" s="62" t="s">
        <v>545</v>
      </c>
    </row>
    <row r="21" ht="15.75" customHeight="1">
      <c r="A21" s="62" t="s">
        <v>546</v>
      </c>
    </row>
    <row r="22" ht="15.75" customHeight="1">
      <c r="A22" s="62" t="s">
        <v>547</v>
      </c>
    </row>
    <row r="23" ht="15.75" customHeight="1">
      <c r="A23" s="63" t="s">
        <v>548</v>
      </c>
    </row>
    <row r="24" ht="15.75" customHeight="1">
      <c r="A24" s="62" t="s">
        <v>549</v>
      </c>
    </row>
    <row r="25" ht="15.75" customHeight="1">
      <c r="A25" s="62" t="s">
        <v>550</v>
      </c>
    </row>
    <row r="26" ht="15.75" customHeight="1">
      <c r="A26" s="62" t="s">
        <v>551</v>
      </c>
    </row>
    <row r="27" ht="15.75" customHeight="1">
      <c r="A27" s="62" t="s">
        <v>552</v>
      </c>
    </row>
    <row r="28" ht="15.75" customHeight="1">
      <c r="A28" s="62" t="s">
        <v>553</v>
      </c>
    </row>
    <row r="29" ht="15.75" customHeight="1">
      <c r="A29" s="62" t="s">
        <v>546</v>
      </c>
    </row>
    <row r="30" ht="15.75" customHeight="1">
      <c r="A30" s="62" t="s">
        <v>554</v>
      </c>
    </row>
    <row r="31" ht="15.75" customHeight="1">
      <c r="A31" s="63" t="s">
        <v>548</v>
      </c>
    </row>
    <row r="32" ht="15.75" customHeight="1">
      <c r="A32" s="62" t="s">
        <v>549</v>
      </c>
    </row>
    <row r="33" ht="15.75" customHeight="1">
      <c r="A33" s="62" t="s">
        <v>550</v>
      </c>
    </row>
    <row r="34" ht="15.75" customHeight="1">
      <c r="A34" s="62" t="s">
        <v>555</v>
      </c>
    </row>
    <row r="35" ht="15.75" customHeight="1">
      <c r="A35" s="63" t="s">
        <v>556</v>
      </c>
    </row>
    <row r="36" ht="15.75" customHeight="1">
      <c r="A36" s="62" t="s">
        <v>557</v>
      </c>
    </row>
    <row r="37" ht="15.75" customHeight="1">
      <c r="A37" s="62" t="s">
        <v>553</v>
      </c>
    </row>
    <row r="38" ht="15.75" customHeight="1">
      <c r="A38" s="62" t="s">
        <v>546</v>
      </c>
    </row>
    <row r="39" ht="15.75" customHeight="1">
      <c r="A39" s="62" t="s">
        <v>558</v>
      </c>
    </row>
    <row r="40" ht="15.75" customHeight="1">
      <c r="A40" s="62" t="s">
        <v>548</v>
      </c>
    </row>
    <row r="41" ht="15.75" customHeight="1">
      <c r="A41" s="62" t="s">
        <v>549</v>
      </c>
    </row>
    <row r="42" ht="15.75" customHeight="1">
      <c r="A42" s="62" t="s">
        <v>550</v>
      </c>
    </row>
    <row r="43" ht="15.75" customHeight="1">
      <c r="A43" s="62" t="s">
        <v>559</v>
      </c>
    </row>
    <row r="44" ht="15.75" customHeight="1">
      <c r="A44" s="62" t="s">
        <v>560</v>
      </c>
    </row>
    <row r="45" ht="15.75" customHeight="1">
      <c r="A45" s="62" t="s">
        <v>561</v>
      </c>
    </row>
    <row r="46" ht="15.75" customHeight="1">
      <c r="A46" s="62" t="s">
        <v>553</v>
      </c>
    </row>
    <row r="47" ht="15.75" customHeight="1">
      <c r="A47" s="62" t="s">
        <v>562</v>
      </c>
    </row>
    <row r="48" ht="15.75" customHeight="1">
      <c r="A48" s="62" t="s">
        <v>563</v>
      </c>
    </row>
    <row r="49" ht="15.75" customHeight="1">
      <c r="A49" s="62" t="s">
        <v>564</v>
      </c>
    </row>
    <row r="50" ht="15.75" customHeight="1">
      <c r="A50" s="62"/>
    </row>
    <row r="51" ht="15.75" customHeight="1">
      <c r="A51" s="63" t="s">
        <v>565</v>
      </c>
    </row>
    <row r="52" ht="15.75" customHeight="1">
      <c r="A52" s="62" t="s">
        <v>566</v>
      </c>
    </row>
    <row r="53" ht="15.75" customHeight="1">
      <c r="A53" s="62" t="s">
        <v>567</v>
      </c>
    </row>
    <row r="54" ht="15.75" customHeight="1">
      <c r="A54" s="62" t="s">
        <v>568</v>
      </c>
    </row>
    <row r="55" ht="15.75" customHeight="1">
      <c r="A55" s="62" t="s">
        <v>569</v>
      </c>
    </row>
    <row r="56" ht="15.75" customHeight="1">
      <c r="A56" s="62" t="s">
        <v>570</v>
      </c>
    </row>
    <row r="57" ht="15.75" customHeight="1">
      <c r="A57" s="62" t="s">
        <v>571</v>
      </c>
    </row>
    <row r="58" ht="15.75" customHeight="1">
      <c r="A58" s="62"/>
    </row>
    <row r="59" ht="15.75" customHeight="1">
      <c r="A59" s="62" t="s">
        <v>572</v>
      </c>
    </row>
    <row r="60" ht="15.75" customHeight="1">
      <c r="A60" s="62" t="s">
        <v>573</v>
      </c>
    </row>
    <row r="61" ht="15.75" customHeight="1">
      <c r="A61" s="62" t="s">
        <v>571</v>
      </c>
    </row>
    <row r="62" ht="15.75" customHeight="1">
      <c r="A62" s="62"/>
    </row>
    <row r="63" ht="15.75" customHeight="1">
      <c r="A63" s="62" t="s">
        <v>574</v>
      </c>
    </row>
    <row r="64" ht="15.75" customHeight="1">
      <c r="A64" s="62" t="s">
        <v>575</v>
      </c>
    </row>
    <row r="65" ht="15.75" customHeight="1">
      <c r="A65" s="62" t="s">
        <v>576</v>
      </c>
    </row>
    <row r="66" ht="15.75" customHeight="1">
      <c r="A66" s="62" t="s">
        <v>577</v>
      </c>
    </row>
    <row r="67" ht="15.75" customHeight="1">
      <c r="A67" s="62"/>
    </row>
    <row r="68" ht="15.75" customHeight="1">
      <c r="A68" s="62" t="s">
        <v>578</v>
      </c>
    </row>
    <row r="69" ht="15.75" customHeight="1">
      <c r="A69" s="62" t="s">
        <v>579</v>
      </c>
    </row>
    <row r="70" ht="15.75" customHeight="1">
      <c r="A70" s="62" t="s">
        <v>580</v>
      </c>
    </row>
    <row r="71" ht="15.75" customHeight="1">
      <c r="A71" s="62"/>
    </row>
    <row r="72" ht="15.75" customHeight="1">
      <c r="A72" s="62" t="s">
        <v>581</v>
      </c>
    </row>
    <row r="73" ht="15.75" customHeight="1">
      <c r="A73" s="62" t="s">
        <v>582</v>
      </c>
    </row>
    <row r="74" ht="15.75" customHeight="1">
      <c r="A74" s="62"/>
    </row>
    <row r="75" ht="15.75" customHeight="1">
      <c r="A75" s="62" t="s">
        <v>583</v>
      </c>
    </row>
    <row r="76" ht="15.75" customHeight="1">
      <c r="A76" s="63" t="s">
        <v>584</v>
      </c>
    </row>
    <row r="77" ht="15.75" customHeight="1">
      <c r="A77" s="62" t="s">
        <v>585</v>
      </c>
    </row>
    <row r="78" ht="15.75" customHeight="1">
      <c r="A78" s="62" t="s">
        <v>563</v>
      </c>
    </row>
    <row r="79" ht="15.75" customHeight="1">
      <c r="A79" s="62"/>
    </row>
    <row r="80" ht="15.75" customHeight="1">
      <c r="A80" s="62" t="s">
        <v>586</v>
      </c>
    </row>
    <row r="81" ht="15.75" customHeight="1">
      <c r="A81" s="62" t="s">
        <v>587</v>
      </c>
    </row>
    <row r="82" ht="15.75" customHeight="1">
      <c r="A82" s="62" t="s">
        <v>588</v>
      </c>
    </row>
    <row r="83" ht="15.75" customHeight="1">
      <c r="A83" s="62" t="s">
        <v>589</v>
      </c>
    </row>
    <row r="84" ht="15.75" customHeight="1">
      <c r="A84" s="62" t="s">
        <v>590</v>
      </c>
    </row>
    <row r="85" ht="15.75" customHeight="1">
      <c r="A85" s="62" t="s">
        <v>591</v>
      </c>
    </row>
    <row r="86" ht="15.75" customHeight="1">
      <c r="A86" s="62" t="s">
        <v>592</v>
      </c>
    </row>
    <row r="87" ht="15.75" customHeight="1">
      <c r="A87" s="62" t="s">
        <v>562</v>
      </c>
    </row>
    <row r="88" ht="15.75" customHeight="1">
      <c r="A88" s="62" t="s">
        <v>563</v>
      </c>
    </row>
    <row r="89" ht="15.75" customHeight="1">
      <c r="A89" s="62"/>
    </row>
    <row r="90" ht="15.75" customHeight="1">
      <c r="A90" s="62" t="s">
        <v>593</v>
      </c>
    </row>
    <row r="91" ht="15.75" customHeight="1">
      <c r="A91" s="62" t="s">
        <v>594</v>
      </c>
    </row>
    <row r="92" ht="15.75" customHeight="1">
      <c r="A92" s="62" t="s">
        <v>595</v>
      </c>
    </row>
    <row r="93" ht="15.75" customHeight="1">
      <c r="A93" s="62" t="s">
        <v>571</v>
      </c>
    </row>
    <row r="94" ht="15.75" customHeight="1">
      <c r="A94" s="62"/>
    </row>
    <row r="95" ht="15.75" customHeight="1">
      <c r="A95" s="62" t="s">
        <v>596</v>
      </c>
    </row>
    <row r="96" ht="15.75" customHeight="1">
      <c r="A96" s="62" t="s">
        <v>597</v>
      </c>
    </row>
    <row r="97" ht="15.75" customHeight="1">
      <c r="A97" s="62" t="s">
        <v>598</v>
      </c>
    </row>
    <row r="98" ht="15.75" customHeight="1">
      <c r="A98" s="62" t="s">
        <v>599</v>
      </c>
    </row>
    <row r="99" ht="15.75" customHeight="1">
      <c r="A99" s="62" t="s">
        <v>600</v>
      </c>
    </row>
    <row r="100" ht="15.75" customHeight="1">
      <c r="A100" s="63" t="s">
        <v>601</v>
      </c>
    </row>
    <row r="101" ht="15.75" customHeight="1">
      <c r="A101" s="62" t="s">
        <v>571</v>
      </c>
    </row>
    <row r="102" ht="15.75" customHeight="1">
      <c r="A102" s="62"/>
    </row>
    <row r="103" ht="15.75" customHeight="1">
      <c r="A103" s="62" t="s">
        <v>602</v>
      </c>
    </row>
    <row r="104" ht="15.75" customHeight="1">
      <c r="A104" s="62" t="s">
        <v>603</v>
      </c>
    </row>
    <row r="105" ht="15.75" customHeight="1">
      <c r="A105" s="62" t="s">
        <v>604</v>
      </c>
    </row>
    <row r="106" ht="15.75" customHeight="1">
      <c r="A106" s="62" t="s">
        <v>605</v>
      </c>
    </row>
    <row r="107" ht="15.75" customHeight="1">
      <c r="A107" s="62"/>
    </row>
    <row r="108" ht="15.75" customHeight="1">
      <c r="A108" s="62" t="s">
        <v>606</v>
      </c>
    </row>
    <row r="109" ht="15.75" customHeight="1">
      <c r="A109" s="62" t="s">
        <v>607</v>
      </c>
    </row>
    <row r="110" ht="15.75" customHeight="1">
      <c r="A110" s="62" t="s">
        <v>608</v>
      </c>
    </row>
    <row r="111" ht="15.75" customHeight="1">
      <c r="A111" s="62" t="s">
        <v>609</v>
      </c>
    </row>
    <row r="112" ht="15.75" customHeight="1">
      <c r="A112" s="62"/>
    </row>
    <row r="113" ht="15.75" customHeight="1">
      <c r="A113" s="62" t="s">
        <v>610</v>
      </c>
    </row>
    <row r="114" ht="15.75" customHeight="1">
      <c r="A114" s="62" t="s">
        <v>611</v>
      </c>
    </row>
    <row r="115" ht="15.75" customHeight="1">
      <c r="A115" s="62" t="s">
        <v>612</v>
      </c>
    </row>
    <row r="116" ht="15.75" customHeight="1">
      <c r="A116" s="62" t="s">
        <v>613</v>
      </c>
    </row>
    <row r="117" ht="15.75" customHeight="1">
      <c r="A117" s="62"/>
    </row>
    <row r="118" ht="15.75" customHeight="1">
      <c r="A118" s="62" t="s">
        <v>614</v>
      </c>
    </row>
    <row r="119" ht="15.75" customHeight="1">
      <c r="A119" s="63" t="s">
        <v>615</v>
      </c>
    </row>
    <row r="120" ht="15.75" customHeight="1">
      <c r="A120" s="62" t="s">
        <v>616</v>
      </c>
    </row>
    <row r="121" ht="15.75" customHeight="1">
      <c r="A121" s="62" t="s">
        <v>617</v>
      </c>
    </row>
    <row r="122" ht="15.75" customHeight="1">
      <c r="A122" s="62"/>
    </row>
    <row r="123" ht="15.75" customHeight="1">
      <c r="A123" s="62" t="s">
        <v>618</v>
      </c>
    </row>
    <row r="124" ht="15.75" customHeight="1">
      <c r="A124" s="62" t="s">
        <v>619</v>
      </c>
    </row>
    <row r="125" ht="15.75" customHeight="1">
      <c r="A125" s="62" t="s">
        <v>620</v>
      </c>
    </row>
    <row r="126" ht="15.75" customHeight="1">
      <c r="A126" s="62" t="s">
        <v>621</v>
      </c>
    </row>
    <row r="127" ht="15.75" customHeight="1">
      <c r="A127" s="62" t="s">
        <v>622</v>
      </c>
    </row>
    <row r="128" ht="15.75" customHeight="1">
      <c r="A128" s="62" t="s">
        <v>623</v>
      </c>
    </row>
    <row r="129" ht="15.75" customHeight="1">
      <c r="A129" s="62" t="s">
        <v>624</v>
      </c>
    </row>
    <row r="130" ht="15.75" customHeight="1">
      <c r="A130" s="62" t="s">
        <v>625</v>
      </c>
    </row>
    <row r="131" ht="15.75" customHeight="1">
      <c r="A131" s="62" t="s">
        <v>626</v>
      </c>
    </row>
    <row r="132" ht="15.75" customHeight="1">
      <c r="A132" s="62" t="s">
        <v>571</v>
      </c>
    </row>
    <row r="133" ht="15.75" customHeight="1">
      <c r="A133" s="62"/>
    </row>
    <row r="134" ht="15.75" customHeight="1">
      <c r="A134" s="62" t="s">
        <v>627</v>
      </c>
    </row>
    <row r="135" ht="15.75" customHeight="1">
      <c r="A135" s="63" t="s">
        <v>628</v>
      </c>
    </row>
    <row r="136" ht="15.75" customHeight="1">
      <c r="A136" s="62" t="s">
        <v>629</v>
      </c>
    </row>
    <row r="137" ht="15.75" customHeight="1">
      <c r="A137" s="62" t="s">
        <v>630</v>
      </c>
    </row>
    <row r="138" ht="15.75" customHeight="1">
      <c r="A138" s="62" t="s">
        <v>631</v>
      </c>
    </row>
    <row r="139" ht="15.75" customHeight="1">
      <c r="A139" s="62" t="s">
        <v>632</v>
      </c>
    </row>
    <row r="140" ht="15.75" customHeight="1">
      <c r="A140" s="62"/>
    </row>
    <row r="141" ht="15.75" customHeight="1">
      <c r="A141" s="62" t="s">
        <v>576</v>
      </c>
    </row>
    <row r="142" ht="15.75" customHeight="1">
      <c r="A142" s="62" t="s">
        <v>633</v>
      </c>
    </row>
    <row r="143" ht="15.75" customHeight="1">
      <c r="A143" s="62" t="s">
        <v>629</v>
      </c>
    </row>
    <row r="144" ht="15.75" customHeight="1">
      <c r="A144" s="62" t="s">
        <v>630</v>
      </c>
    </row>
    <row r="145" ht="15.75" customHeight="1">
      <c r="A145" s="62" t="s">
        <v>631</v>
      </c>
    </row>
    <row r="146" ht="15.75" customHeight="1">
      <c r="A146" s="62" t="s">
        <v>632</v>
      </c>
    </row>
    <row r="147" ht="15.75" customHeight="1">
      <c r="A147" s="62"/>
    </row>
    <row r="148" ht="15.75" customHeight="1">
      <c r="A148" s="62" t="s">
        <v>578</v>
      </c>
    </row>
    <row r="149" ht="15.75" customHeight="1">
      <c r="A149" s="62"/>
    </row>
    <row r="150" ht="15.75" customHeight="1">
      <c r="A150" s="62" t="s">
        <v>634</v>
      </c>
    </row>
    <row r="151" ht="15.75" customHeight="1">
      <c r="A151" s="62" t="s">
        <v>635</v>
      </c>
    </row>
    <row r="152" ht="15.75" customHeight="1">
      <c r="A152" s="63" t="s">
        <v>636</v>
      </c>
    </row>
    <row r="153" ht="15.75" customHeight="1">
      <c r="A153" s="62" t="s">
        <v>637</v>
      </c>
    </row>
    <row r="154" ht="15.75" customHeight="1">
      <c r="A154" s="62"/>
    </row>
    <row r="155" ht="15.75" customHeight="1">
      <c r="A155" s="62" t="s">
        <v>638</v>
      </c>
    </row>
    <row r="156" ht="15.75" customHeight="1">
      <c r="A156" s="62" t="s">
        <v>639</v>
      </c>
    </row>
    <row r="157" ht="15.75" customHeight="1">
      <c r="A157" s="63"/>
    </row>
    <row r="158" ht="15.75" customHeight="1">
      <c r="A158" s="63" t="s">
        <v>640</v>
      </c>
    </row>
    <row r="159" ht="15.75" customHeight="1">
      <c r="A159" s="63" t="s">
        <v>641</v>
      </c>
    </row>
    <row r="160" ht="15.75" customHeight="1">
      <c r="A160" s="63" t="s">
        <v>642</v>
      </c>
    </row>
    <row r="161" ht="15.75" customHeight="1">
      <c r="A161" s="63" t="s">
        <v>643</v>
      </c>
    </row>
    <row r="162" ht="15.75" customHeight="1">
      <c r="A162" s="63" t="s">
        <v>644</v>
      </c>
    </row>
    <row r="163" ht="15.75" customHeight="1">
      <c r="A163" s="63"/>
    </row>
    <row r="164" ht="15.75" customHeight="1">
      <c r="A164" s="63" t="s">
        <v>645</v>
      </c>
    </row>
    <row r="165" ht="15.75" customHeight="1">
      <c r="A165" s="63" t="s">
        <v>646</v>
      </c>
    </row>
    <row r="166" ht="15.75" customHeight="1">
      <c r="A166" s="63"/>
    </row>
    <row r="167" ht="15.75" customHeight="1">
      <c r="A167" s="63" t="s">
        <v>647</v>
      </c>
    </row>
    <row r="168" ht="15.75" customHeight="1">
      <c r="A168" s="63" t="s">
        <v>648</v>
      </c>
    </row>
    <row r="169" ht="15.75" customHeight="1">
      <c r="A169" s="63"/>
    </row>
    <row r="170" ht="15.75" customHeight="1">
      <c r="A170" s="63" t="s">
        <v>649</v>
      </c>
    </row>
    <row r="171" ht="15.75" customHeight="1">
      <c r="A171" s="63" t="s">
        <v>650</v>
      </c>
    </row>
    <row r="172" ht="15.75" customHeight="1">
      <c r="A172" s="63" t="s">
        <v>651</v>
      </c>
    </row>
    <row r="173" ht="15.75" customHeight="1">
      <c r="A173" s="63" t="s">
        <v>652</v>
      </c>
    </row>
    <row r="174" ht="15.75" customHeight="1">
      <c r="A174" s="63" t="s">
        <v>653</v>
      </c>
    </row>
    <row r="175" ht="15.75" customHeight="1">
      <c r="A175" s="63" t="s">
        <v>654</v>
      </c>
    </row>
    <row r="176" ht="15.75" customHeight="1">
      <c r="A176" s="63" t="s">
        <v>655</v>
      </c>
    </row>
    <row r="177" ht="15.75" customHeight="1">
      <c r="A177" s="63" t="s">
        <v>656</v>
      </c>
    </row>
    <row r="178" ht="15.75" customHeight="1">
      <c r="A178" s="63" t="s">
        <v>657</v>
      </c>
    </row>
    <row r="179" ht="15.75" customHeight="1">
      <c r="A179" s="63" t="s">
        <v>658</v>
      </c>
    </row>
    <row r="180" ht="15.75" customHeight="1">
      <c r="A180" s="63" t="s">
        <v>659</v>
      </c>
    </row>
    <row r="181" ht="15.75" customHeight="1">
      <c r="A181" s="63" t="s">
        <v>660</v>
      </c>
    </row>
    <row r="182" ht="15.75" customHeight="1">
      <c r="A182" s="63" t="s">
        <v>661</v>
      </c>
    </row>
    <row r="183" ht="15.75" customHeight="1">
      <c r="A183" s="63" t="s">
        <v>662</v>
      </c>
    </row>
    <row r="184" ht="15.75" customHeight="1">
      <c r="A184" s="63" t="s">
        <v>663</v>
      </c>
    </row>
    <row r="185" ht="15.75" customHeight="1">
      <c r="A185" s="63" t="s">
        <v>664</v>
      </c>
    </row>
    <row r="186" ht="15.75" customHeight="1">
      <c r="A186" s="63" t="s">
        <v>665</v>
      </c>
    </row>
    <row r="187" ht="15.75" customHeight="1">
      <c r="A187" s="63" t="s">
        <v>666</v>
      </c>
    </row>
    <row r="188" ht="15.75" customHeight="1">
      <c r="A188" s="63" t="s">
        <v>644</v>
      </c>
    </row>
    <row r="189" ht="15.75" customHeight="1">
      <c r="A189" s="63"/>
    </row>
    <row r="190" ht="15.75" customHeight="1">
      <c r="A190" s="63" t="s">
        <v>667</v>
      </c>
    </row>
    <row r="191" ht="15.75" customHeight="1">
      <c r="A191" s="63" t="s">
        <v>668</v>
      </c>
    </row>
    <row r="192" ht="15.75" customHeight="1">
      <c r="A192" s="63"/>
    </row>
    <row r="193" ht="15.75" customHeight="1">
      <c r="A193" s="63" t="s">
        <v>669</v>
      </c>
    </row>
    <row r="194" ht="15.75" customHeight="1">
      <c r="A194" s="63" t="s">
        <v>670</v>
      </c>
    </row>
    <row r="195" ht="15.75" customHeight="1">
      <c r="A195" s="63" t="s">
        <v>562</v>
      </c>
    </row>
    <row r="196" ht="15.75" customHeight="1">
      <c r="A196" s="63" t="s">
        <v>671</v>
      </c>
    </row>
    <row r="197" ht="15.75" customHeight="1">
      <c r="A197" s="63" t="s">
        <v>571</v>
      </c>
    </row>
    <row r="198" ht="15.75" customHeight="1">
      <c r="A198" s="63"/>
    </row>
    <row r="199" ht="15.75" customHeight="1">
      <c r="A199" s="63" t="s">
        <v>672</v>
      </c>
    </row>
    <row r="200" ht="15.75" customHeight="1">
      <c r="A200" s="63" t="s">
        <v>673</v>
      </c>
    </row>
    <row r="201" ht="15.75" customHeight="1">
      <c r="A201" s="63" t="s">
        <v>674</v>
      </c>
    </row>
    <row r="202" ht="15.75" customHeight="1">
      <c r="A202" s="63" t="s">
        <v>571</v>
      </c>
    </row>
    <row r="203" ht="15.75" customHeight="1">
      <c r="A203" s="63"/>
    </row>
    <row r="204" ht="15.75" customHeight="1">
      <c r="A204" s="63" t="s">
        <v>675</v>
      </c>
    </row>
    <row r="205" ht="15.75" customHeight="1">
      <c r="A205" s="63" t="s">
        <v>676</v>
      </c>
    </row>
    <row r="206" ht="15.75" customHeight="1">
      <c r="A206" s="63" t="s">
        <v>677</v>
      </c>
    </row>
    <row r="207" ht="15.75" customHeight="1">
      <c r="A207" s="63" t="s">
        <v>571</v>
      </c>
    </row>
    <row r="208" ht="15.75" customHeight="1">
      <c r="A208" s="63"/>
    </row>
    <row r="209" ht="15.75" customHeight="1">
      <c r="A209" s="63" t="s">
        <v>678</v>
      </c>
    </row>
    <row r="210" ht="15.75" customHeight="1">
      <c r="A210" s="63" t="s">
        <v>566</v>
      </c>
    </row>
    <row r="211" ht="15.75" customHeight="1">
      <c r="A211" s="63" t="s">
        <v>679</v>
      </c>
    </row>
    <row r="212" ht="15.75" customHeight="1">
      <c r="A212" s="63" t="s">
        <v>680</v>
      </c>
    </row>
    <row r="213" ht="15.75" customHeight="1">
      <c r="A213" s="63"/>
    </row>
    <row r="214" ht="15.75" customHeight="1">
      <c r="A214" s="63" t="s">
        <v>681</v>
      </c>
    </row>
    <row r="215" ht="15.75" customHeight="1">
      <c r="A215" s="63" t="s">
        <v>682</v>
      </c>
    </row>
    <row r="216" ht="15.75" customHeight="1">
      <c r="A216" s="63" t="s">
        <v>683</v>
      </c>
    </row>
    <row r="217" ht="15.75" customHeight="1">
      <c r="A217" s="63" t="s">
        <v>684</v>
      </c>
    </row>
    <row r="218" ht="15.75" customHeight="1">
      <c r="A218" s="63" t="s">
        <v>685</v>
      </c>
    </row>
    <row r="219" ht="15.75" customHeight="1">
      <c r="A219" s="63" t="s">
        <v>686</v>
      </c>
    </row>
    <row r="220" ht="15.75" customHeight="1">
      <c r="A220" s="63" t="s">
        <v>687</v>
      </c>
    </row>
    <row r="221" ht="15.75" customHeight="1">
      <c r="A221" s="63"/>
    </row>
    <row r="222" ht="15.75" customHeight="1">
      <c r="A222" s="63" t="s">
        <v>688</v>
      </c>
    </row>
    <row r="223" ht="15.75" customHeight="1">
      <c r="A223" s="63" t="s">
        <v>689</v>
      </c>
    </row>
    <row r="224" ht="15.75" customHeight="1">
      <c r="A224" s="63" t="s">
        <v>690</v>
      </c>
    </row>
    <row r="225" ht="15.75" customHeight="1">
      <c r="A225" s="63" t="s">
        <v>691</v>
      </c>
    </row>
    <row r="226" ht="15.75" customHeight="1">
      <c r="A226" s="63" t="s">
        <v>692</v>
      </c>
    </row>
    <row r="227" ht="15.75" customHeight="1">
      <c r="A227" s="63" t="s">
        <v>693</v>
      </c>
    </row>
    <row r="228" ht="15.75" customHeight="1">
      <c r="A228" s="63" t="s">
        <v>694</v>
      </c>
    </row>
    <row r="229" ht="15.75" customHeight="1">
      <c r="A229" s="63" t="s">
        <v>695</v>
      </c>
    </row>
    <row r="230" ht="15.75" customHeight="1">
      <c r="A230" s="63" t="s">
        <v>571</v>
      </c>
    </row>
    <row r="231" ht="15.75" customHeight="1">
      <c r="A231" s="63"/>
    </row>
    <row r="232" ht="15.75" customHeight="1">
      <c r="A232" s="63" t="s">
        <v>696</v>
      </c>
    </row>
    <row r="233" ht="15.75" customHeight="1">
      <c r="A233" s="63" t="s">
        <v>566</v>
      </c>
    </row>
    <row r="234" ht="15.75" customHeight="1">
      <c r="A234" s="63" t="s">
        <v>697</v>
      </c>
    </row>
    <row r="235" ht="15.75" customHeight="1">
      <c r="A235" s="63" t="s">
        <v>698</v>
      </c>
    </row>
    <row r="236" ht="15.75" customHeight="1">
      <c r="A236" s="63" t="s">
        <v>699</v>
      </c>
    </row>
    <row r="237" ht="15.75" customHeight="1">
      <c r="A237" s="63" t="s">
        <v>700</v>
      </c>
    </row>
    <row r="238" ht="15.75" customHeight="1">
      <c r="A238" s="63" t="s">
        <v>701</v>
      </c>
    </row>
    <row r="239" ht="15.75" customHeight="1">
      <c r="A239" s="63" t="s">
        <v>702</v>
      </c>
    </row>
    <row r="240" ht="15.75" customHeight="1">
      <c r="A240" s="63" t="s">
        <v>571</v>
      </c>
    </row>
    <row r="241" ht="15.75" customHeight="1">
      <c r="A241" s="63"/>
    </row>
    <row r="242" ht="15.75" customHeight="1">
      <c r="A242" s="63" t="s">
        <v>703</v>
      </c>
    </row>
    <row r="243" ht="15.75" customHeight="1">
      <c r="A243" s="63" t="s">
        <v>704</v>
      </c>
    </row>
    <row r="244" ht="15.75" customHeight="1">
      <c r="A244" s="63" t="s">
        <v>705</v>
      </c>
    </row>
    <row r="245" ht="15.75" customHeight="1">
      <c r="A245" s="63" t="s">
        <v>706</v>
      </c>
    </row>
    <row r="246" ht="15.75" customHeight="1">
      <c r="A246" s="63" t="s">
        <v>707</v>
      </c>
    </row>
    <row r="247" ht="15.75" customHeight="1">
      <c r="A247" s="63" t="s">
        <v>697</v>
      </c>
    </row>
    <row r="248" ht="15.75" customHeight="1">
      <c r="A248" s="63" t="s">
        <v>708</v>
      </c>
    </row>
    <row r="249" ht="15.75" customHeight="1">
      <c r="A249" s="63" t="s">
        <v>571</v>
      </c>
    </row>
    <row r="250" ht="15.75" customHeight="1">
      <c r="A250" s="63"/>
    </row>
    <row r="251" ht="15.75" customHeight="1">
      <c r="A251" s="63" t="s">
        <v>709</v>
      </c>
    </row>
    <row r="252" ht="15.75" customHeight="1">
      <c r="A252" s="63" t="s">
        <v>710</v>
      </c>
    </row>
    <row r="253" ht="15.75" customHeight="1">
      <c r="A253" s="63" t="s">
        <v>711</v>
      </c>
    </row>
    <row r="254" ht="15.75" customHeight="1">
      <c r="A254" s="63" t="s">
        <v>712</v>
      </c>
    </row>
    <row r="255" ht="15.75" customHeight="1">
      <c r="A255" s="63" t="s">
        <v>713</v>
      </c>
    </row>
    <row r="256" ht="15.75" customHeight="1">
      <c r="A256" s="63" t="s">
        <v>571</v>
      </c>
    </row>
    <row r="257" ht="15.75" customHeight="1">
      <c r="A257" s="63"/>
    </row>
    <row r="258" ht="15.75" customHeight="1">
      <c r="A258" s="63" t="s">
        <v>714</v>
      </c>
    </row>
    <row r="259" ht="15.75" customHeight="1">
      <c r="A259" s="63" t="s">
        <v>715</v>
      </c>
    </row>
    <row r="260" ht="15.75" customHeight="1">
      <c r="A260" s="63" t="s">
        <v>566</v>
      </c>
    </row>
    <row r="261" ht="15.75" customHeight="1">
      <c r="A261" s="63" t="s">
        <v>716</v>
      </c>
    </row>
    <row r="262" ht="15.75" customHeight="1">
      <c r="A262" s="63" t="s">
        <v>717</v>
      </c>
    </row>
    <row r="263" ht="15.75" customHeight="1">
      <c r="A263" s="63"/>
    </row>
    <row r="264" ht="15.75" customHeight="1">
      <c r="A264" s="63" t="s">
        <v>718</v>
      </c>
    </row>
    <row r="265" ht="15.75" customHeight="1">
      <c r="A265" s="63" t="s">
        <v>719</v>
      </c>
    </row>
    <row r="266" ht="15.75" customHeight="1">
      <c r="A266" s="63" t="s">
        <v>720</v>
      </c>
    </row>
    <row r="267" ht="15.75" customHeight="1">
      <c r="A267" s="63" t="s">
        <v>721</v>
      </c>
    </row>
    <row r="268" ht="15.75" customHeight="1">
      <c r="A268" s="63" t="s">
        <v>722</v>
      </c>
    </row>
    <row r="269" ht="15.75" customHeight="1">
      <c r="A269" s="63" t="s">
        <v>723</v>
      </c>
    </row>
    <row r="270" ht="15.75" customHeight="1">
      <c r="A270" s="63" t="s">
        <v>724</v>
      </c>
    </row>
    <row r="271" ht="15.75" customHeight="1">
      <c r="A271" s="63" t="s">
        <v>725</v>
      </c>
    </row>
    <row r="272" ht="15.75" customHeight="1">
      <c r="A272" s="63" t="s">
        <v>726</v>
      </c>
    </row>
    <row r="273" ht="15.75" customHeight="1">
      <c r="A273" s="63" t="s">
        <v>727</v>
      </c>
    </row>
    <row r="274" ht="15.75" customHeight="1">
      <c r="A274" s="63" t="s">
        <v>728</v>
      </c>
    </row>
    <row r="275" ht="15.75" customHeight="1">
      <c r="A275" s="63" t="s">
        <v>729</v>
      </c>
    </row>
    <row r="276" ht="15.75" customHeight="1">
      <c r="A276" s="63" t="s">
        <v>730</v>
      </c>
    </row>
    <row r="277" ht="15.75" customHeight="1">
      <c r="A277" s="63" t="s">
        <v>562</v>
      </c>
    </row>
    <row r="278" ht="15.75" customHeight="1">
      <c r="A278" s="63" t="s">
        <v>563</v>
      </c>
    </row>
    <row r="279" ht="15.75" customHeight="1">
      <c r="A279" s="63"/>
    </row>
    <row r="280" ht="15.75" customHeight="1">
      <c r="A280" s="63" t="s">
        <v>731</v>
      </c>
    </row>
    <row r="281" ht="15.75" customHeight="1">
      <c r="A281" s="63" t="s">
        <v>571</v>
      </c>
    </row>
    <row r="282" ht="15.75" customHeight="1">
      <c r="A282" s="63"/>
    </row>
    <row r="283" ht="15.75" customHeight="1">
      <c r="A283" s="63"/>
    </row>
    <row r="284" ht="15.75" customHeight="1">
      <c r="A284" s="63"/>
    </row>
    <row r="285" ht="15.75" customHeight="1">
      <c r="A285" s="63"/>
    </row>
    <row r="286" ht="15.75" customHeight="1">
      <c r="A286" s="63"/>
    </row>
    <row r="287" ht="15.75" customHeight="1">
      <c r="A287" s="63"/>
    </row>
    <row r="288" ht="15.75" customHeight="1">
      <c r="A288" s="63"/>
    </row>
    <row r="289" ht="15.75" customHeight="1">
      <c r="A289" s="63"/>
    </row>
    <row r="290" ht="15.75" customHeight="1">
      <c r="A290" s="63"/>
    </row>
    <row r="291" ht="15.75" customHeight="1">
      <c r="A291" s="63"/>
    </row>
    <row r="292" ht="15.75" customHeight="1">
      <c r="A292" s="63"/>
    </row>
    <row r="293" ht="15.75" customHeight="1">
      <c r="A293" s="63"/>
    </row>
    <row r="294" ht="15.75" customHeight="1">
      <c r="A294" s="63"/>
    </row>
    <row r="295" ht="15.75" customHeight="1">
      <c r="A295" s="63"/>
    </row>
    <row r="296" ht="15.75" customHeight="1">
      <c r="A296" s="63"/>
    </row>
    <row r="297" ht="15.75" customHeight="1">
      <c r="A297" s="63"/>
    </row>
    <row r="298" ht="15.75" customHeight="1">
      <c r="A298" s="63"/>
    </row>
    <row r="299" ht="15.75" customHeight="1">
      <c r="A299" s="63"/>
    </row>
    <row r="300" ht="15.75" customHeight="1">
      <c r="A300" s="63"/>
    </row>
    <row r="301" ht="15.75" customHeight="1">
      <c r="A301" s="63"/>
    </row>
    <row r="302" ht="15.75" customHeight="1">
      <c r="A302" s="63"/>
    </row>
    <row r="303" ht="15.75" customHeight="1">
      <c r="A303" s="63"/>
    </row>
    <row r="304" ht="15.75" customHeight="1">
      <c r="A304" s="63"/>
    </row>
    <row r="305" ht="15.75" customHeight="1">
      <c r="A305" s="63"/>
    </row>
    <row r="306" ht="15.75" customHeight="1">
      <c r="A306" s="63"/>
    </row>
    <row r="307" ht="15.75" customHeight="1">
      <c r="A307" s="63"/>
    </row>
    <row r="308" ht="15.75" customHeight="1">
      <c r="A308" s="63"/>
    </row>
    <row r="309" ht="15.75" customHeight="1">
      <c r="A309" s="63"/>
    </row>
    <row r="310" ht="15.75" customHeight="1">
      <c r="A310" s="63"/>
    </row>
    <row r="311" ht="15.75" customHeight="1">
      <c r="A311" s="63"/>
    </row>
    <row r="312" ht="15.75" customHeight="1">
      <c r="A312" s="63"/>
    </row>
    <row r="313" ht="15.75" customHeight="1">
      <c r="A313" s="63"/>
    </row>
    <row r="314" ht="15.75" customHeight="1">
      <c r="A314" s="63"/>
    </row>
    <row r="315" ht="15.75" customHeight="1">
      <c r="A315" s="63"/>
    </row>
    <row r="316" ht="15.75" customHeight="1">
      <c r="A316" s="63"/>
    </row>
    <row r="317" ht="15.75" customHeight="1">
      <c r="A317" s="63"/>
    </row>
    <row r="318" ht="15.75" customHeight="1">
      <c r="A318" s="63"/>
    </row>
    <row r="319" ht="15.75" customHeight="1">
      <c r="A319" s="63"/>
    </row>
    <row r="320" ht="15.75" customHeight="1">
      <c r="A320" s="63"/>
    </row>
    <row r="321" ht="15.75" customHeight="1">
      <c r="A321" s="63"/>
    </row>
    <row r="322" ht="15.75" customHeight="1">
      <c r="A322" s="63"/>
    </row>
    <row r="323" ht="15.75" customHeight="1">
      <c r="A323" s="63"/>
    </row>
    <row r="324" ht="15.75" customHeight="1">
      <c r="A324" s="63"/>
    </row>
    <row r="325" ht="15.75" customHeight="1">
      <c r="A325" s="63"/>
    </row>
    <row r="326" ht="15.75" customHeight="1">
      <c r="A326" s="63"/>
    </row>
    <row r="327" ht="15.75" customHeight="1">
      <c r="A327" s="63"/>
    </row>
    <row r="328" ht="15.75" customHeight="1">
      <c r="A328" s="63"/>
    </row>
    <row r="329" ht="15.75" customHeight="1">
      <c r="A329" s="63"/>
    </row>
    <row r="330" ht="15.75" customHeight="1">
      <c r="A330" s="63"/>
    </row>
    <row r="331" ht="15.75" customHeight="1">
      <c r="A331" s="63"/>
    </row>
    <row r="332" ht="15.75" customHeight="1">
      <c r="A332" s="63"/>
    </row>
    <row r="333" ht="15.75" customHeight="1">
      <c r="A333" s="63"/>
    </row>
    <row r="334" ht="15.75" customHeight="1">
      <c r="A334" s="63"/>
    </row>
    <row r="335" ht="15.75" customHeight="1">
      <c r="A335" s="63"/>
    </row>
    <row r="336" ht="15.75" customHeight="1">
      <c r="A336" s="63"/>
    </row>
    <row r="337" ht="15.75" customHeight="1">
      <c r="A337" s="63"/>
    </row>
    <row r="338" ht="15.75" customHeight="1">
      <c r="A338" s="63"/>
    </row>
    <row r="339" ht="15.75" customHeight="1">
      <c r="A339" s="63"/>
    </row>
    <row r="340" ht="15.75" customHeight="1">
      <c r="A340" s="63"/>
    </row>
    <row r="341" ht="15.75" customHeight="1">
      <c r="A341" s="63"/>
    </row>
    <row r="342" ht="15.75" customHeight="1">
      <c r="A342" s="63"/>
    </row>
    <row r="343" ht="15.75" customHeight="1">
      <c r="A343" s="63"/>
    </row>
    <row r="344" ht="15.75" customHeight="1">
      <c r="A344" s="63"/>
    </row>
    <row r="345" ht="15.75" customHeight="1">
      <c r="A345" s="63"/>
    </row>
    <row r="346" ht="15.75" customHeight="1">
      <c r="A346" s="63"/>
    </row>
    <row r="347" ht="15.75" customHeight="1">
      <c r="A347" s="63"/>
    </row>
    <row r="348" ht="15.75" customHeight="1">
      <c r="A348" s="63"/>
    </row>
    <row r="349" ht="15.75" customHeight="1">
      <c r="A349" s="63"/>
    </row>
    <row r="350" ht="15.75" customHeight="1">
      <c r="A350" s="63"/>
    </row>
    <row r="351" ht="15.75" customHeight="1">
      <c r="A351" s="63"/>
    </row>
    <row r="352" ht="15.75" customHeight="1">
      <c r="A352" s="63"/>
    </row>
    <row r="353" ht="15.75" customHeight="1">
      <c r="A353" s="63"/>
    </row>
    <row r="354" ht="15.75" customHeight="1">
      <c r="A354" s="63"/>
    </row>
    <row r="355" ht="15.75" customHeight="1">
      <c r="A355" s="63"/>
    </row>
    <row r="356" ht="15.75" customHeight="1">
      <c r="A356" s="63"/>
    </row>
    <row r="357" ht="15.75" customHeight="1">
      <c r="A357" s="63"/>
    </row>
    <row r="358" ht="15.75" customHeight="1">
      <c r="A358" s="63"/>
    </row>
    <row r="359" ht="15.75" customHeight="1">
      <c r="A359" s="63"/>
    </row>
    <row r="360" ht="15.75" customHeight="1">
      <c r="A360" s="63"/>
    </row>
    <row r="361" ht="15.75" customHeight="1">
      <c r="A361" s="63"/>
    </row>
    <row r="362" ht="15.75" customHeight="1">
      <c r="A362" s="63"/>
    </row>
    <row r="363" ht="15.75" customHeight="1">
      <c r="A363" s="63"/>
    </row>
    <row r="364" ht="15.75" customHeight="1">
      <c r="A364" s="63"/>
    </row>
    <row r="365" ht="15.75" customHeight="1">
      <c r="A365" s="63"/>
    </row>
    <row r="366" ht="15.75" customHeight="1">
      <c r="A366" s="63"/>
    </row>
    <row r="367" ht="15.75" customHeight="1">
      <c r="A367" s="63"/>
    </row>
    <row r="368" ht="15.75" customHeight="1">
      <c r="A368" s="63"/>
    </row>
    <row r="369" ht="15.75" customHeight="1">
      <c r="A369" s="63"/>
    </row>
    <row r="370" ht="15.75" customHeight="1">
      <c r="A370" s="63"/>
    </row>
    <row r="371" ht="15.75" customHeight="1">
      <c r="A371" s="63"/>
    </row>
    <row r="372" ht="15.75" customHeight="1">
      <c r="A372" s="63"/>
    </row>
    <row r="373" ht="15.75" customHeight="1">
      <c r="A373" s="63"/>
    </row>
    <row r="374" ht="15.75" customHeight="1">
      <c r="A374" s="63"/>
    </row>
    <row r="375" ht="15.75" customHeight="1">
      <c r="A375" s="63"/>
    </row>
    <row r="376" ht="15.75" customHeight="1">
      <c r="A376" s="63"/>
    </row>
    <row r="377" ht="15.75" customHeight="1">
      <c r="A377" s="63"/>
    </row>
    <row r="378" ht="15.75" customHeight="1">
      <c r="A378" s="63"/>
    </row>
    <row r="379" ht="15.75" customHeight="1">
      <c r="A379" s="63"/>
    </row>
    <row r="380" ht="15.75" customHeight="1">
      <c r="A380" s="63"/>
    </row>
    <row r="381" ht="15.75" customHeight="1">
      <c r="A381" s="63"/>
    </row>
    <row r="382" ht="15.75" customHeight="1">
      <c r="A382" s="63"/>
    </row>
    <row r="383" ht="15.75" customHeight="1">
      <c r="A383" s="63"/>
    </row>
    <row r="384" ht="15.75" customHeight="1">
      <c r="A384" s="63"/>
    </row>
    <row r="385" ht="15.75" customHeight="1">
      <c r="A385" s="63"/>
    </row>
    <row r="386" ht="15.75" customHeight="1">
      <c r="A386" s="63"/>
    </row>
    <row r="387" ht="15.75" customHeight="1">
      <c r="A387" s="63"/>
    </row>
    <row r="388" ht="15.75" customHeight="1">
      <c r="A388" s="63"/>
    </row>
    <row r="389" ht="15.75" customHeight="1">
      <c r="A389" s="63"/>
    </row>
    <row r="390" ht="15.75" customHeight="1">
      <c r="A390" s="63"/>
    </row>
    <row r="391" ht="15.75" customHeight="1">
      <c r="A391" s="63"/>
    </row>
    <row r="392" ht="15.75" customHeight="1">
      <c r="A392" s="63"/>
    </row>
    <row r="393" ht="15.75" customHeight="1">
      <c r="A393" s="63"/>
    </row>
    <row r="394" ht="15.75" customHeight="1">
      <c r="A394" s="63"/>
    </row>
    <row r="395" ht="15.75" customHeight="1">
      <c r="A395" s="63"/>
    </row>
    <row r="396" ht="15.75" customHeight="1">
      <c r="A396" s="63"/>
    </row>
    <row r="397" ht="15.75" customHeight="1">
      <c r="A397" s="63"/>
    </row>
    <row r="398" ht="15.75" customHeight="1">
      <c r="A398" s="63"/>
    </row>
    <row r="399" ht="15.75" customHeight="1">
      <c r="A399" s="63"/>
    </row>
    <row r="400" ht="15.75" customHeight="1">
      <c r="A400" s="63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25"/>
    <col customWidth="1" min="2" max="2" width="67.13"/>
    <col customWidth="1" min="3" max="3" width="20.5"/>
    <col customWidth="1" min="4" max="4" width="67.13"/>
    <col customWidth="1" min="5" max="5" width="7.13"/>
    <col customWidth="1" min="6" max="6" width="40.38"/>
    <col customWidth="1" min="7" max="7" width="80.88"/>
    <col customWidth="1" min="8" max="8" width="5.63"/>
    <col customWidth="1" min="9" max="26" width="8.75"/>
  </cols>
  <sheetData>
    <row r="1">
      <c r="A1" s="64" t="s">
        <v>732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5" t="s">
        <v>733</v>
      </c>
      <c r="B2" s="65" t="s">
        <v>10</v>
      </c>
      <c r="C2" s="65" t="s">
        <v>734</v>
      </c>
      <c r="D2" s="65" t="s">
        <v>735</v>
      </c>
      <c r="E2" s="65" t="s">
        <v>5</v>
      </c>
      <c r="F2" s="65" t="s">
        <v>9</v>
      </c>
      <c r="G2" s="65"/>
      <c r="H2" s="65"/>
    </row>
    <row r="3">
      <c r="A3" s="9">
        <v>1.0</v>
      </c>
      <c r="B3" s="9" t="s">
        <v>736</v>
      </c>
      <c r="C3" s="9" t="s">
        <v>737</v>
      </c>
      <c r="D3" s="9" t="s">
        <v>738</v>
      </c>
      <c r="E3" s="9" t="s">
        <v>739</v>
      </c>
      <c r="F3" s="9" t="s">
        <v>740</v>
      </c>
      <c r="G3" s="9"/>
      <c r="H3" s="9"/>
    </row>
    <row r="4">
      <c r="A4" s="9">
        <v>2.0</v>
      </c>
      <c r="B4" s="9" t="s">
        <v>741</v>
      </c>
      <c r="C4" s="9" t="s">
        <v>742</v>
      </c>
      <c r="D4" s="9" t="s">
        <v>743</v>
      </c>
      <c r="E4" s="9" t="s">
        <v>739</v>
      </c>
      <c r="F4" s="9" t="s">
        <v>744</v>
      </c>
      <c r="G4" s="9"/>
      <c r="H4" s="9"/>
    </row>
    <row r="5">
      <c r="A5" s="9">
        <v>3.0</v>
      </c>
      <c r="B5" s="9" t="s">
        <v>745</v>
      </c>
      <c r="C5" s="9" t="s">
        <v>746</v>
      </c>
      <c r="D5" s="9" t="s">
        <v>747</v>
      </c>
      <c r="E5" s="9" t="s">
        <v>739</v>
      </c>
      <c r="F5" s="9" t="s">
        <v>748</v>
      </c>
      <c r="G5" s="9"/>
      <c r="H5" s="9"/>
    </row>
    <row r="6">
      <c r="A6" s="9">
        <v>4.0</v>
      </c>
      <c r="B6" s="9" t="s">
        <v>749</v>
      </c>
      <c r="C6" s="9" t="s">
        <v>746</v>
      </c>
      <c r="D6" s="9" t="s">
        <v>750</v>
      </c>
      <c r="E6" s="9" t="s">
        <v>739</v>
      </c>
      <c r="F6" s="9" t="s">
        <v>751</v>
      </c>
      <c r="G6" s="9"/>
      <c r="H6" s="9"/>
    </row>
    <row r="7">
      <c r="A7" s="9">
        <v>5.0</v>
      </c>
      <c r="B7" s="9" t="s">
        <v>752</v>
      </c>
      <c r="C7" s="9" t="s">
        <v>742</v>
      </c>
      <c r="D7" s="9" t="s">
        <v>753</v>
      </c>
      <c r="E7" s="9" t="s">
        <v>739</v>
      </c>
      <c r="F7" s="9" t="s">
        <v>754</v>
      </c>
      <c r="G7" s="9"/>
      <c r="H7" s="9"/>
    </row>
    <row r="8">
      <c r="A8" s="9">
        <v>6.0</v>
      </c>
      <c r="B8" s="9" t="s">
        <v>755</v>
      </c>
      <c r="C8" s="9" t="s">
        <v>756</v>
      </c>
      <c r="D8" s="9" t="s">
        <v>757</v>
      </c>
      <c r="E8" s="9" t="s">
        <v>739</v>
      </c>
      <c r="F8" s="9" t="s">
        <v>758</v>
      </c>
      <c r="G8" s="9"/>
      <c r="H8" s="9"/>
    </row>
    <row r="9">
      <c r="A9" s="9">
        <v>7.0</v>
      </c>
      <c r="B9" s="9" t="s">
        <v>759</v>
      </c>
      <c r="C9" s="9" t="s">
        <v>760</v>
      </c>
      <c r="D9" s="9" t="s">
        <v>761</v>
      </c>
      <c r="E9" s="9" t="s">
        <v>147</v>
      </c>
      <c r="F9" s="9" t="s">
        <v>762</v>
      </c>
      <c r="G9" s="9"/>
      <c r="H9" s="9"/>
    </row>
    <row r="10">
      <c r="A10" s="9">
        <v>8.0</v>
      </c>
      <c r="B10" s="9" t="s">
        <v>763</v>
      </c>
      <c r="C10" s="9" t="s">
        <v>746</v>
      </c>
      <c r="D10" s="9" t="s">
        <v>764</v>
      </c>
      <c r="E10" s="9" t="s">
        <v>147</v>
      </c>
      <c r="F10" s="9" t="s">
        <v>765</v>
      </c>
      <c r="G10" s="9"/>
      <c r="H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6.75"/>
    <col customWidth="1" min="3" max="3" width="7.38"/>
    <col customWidth="1" min="4" max="4" width="5.88"/>
    <col customWidth="1" min="5" max="5" width="92.88"/>
    <col customWidth="1" min="6" max="6" width="42.25"/>
    <col customWidth="1" min="7" max="26" width="8.75"/>
  </cols>
  <sheetData>
    <row r="1">
      <c r="A1" s="46" t="s">
        <v>766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3" t="s">
        <v>767</v>
      </c>
      <c r="B2" s="43" t="s">
        <v>91</v>
      </c>
      <c r="C2" s="43" t="s">
        <v>32</v>
      </c>
      <c r="D2" s="43" t="s">
        <v>5</v>
      </c>
      <c r="E2" s="43" t="s">
        <v>768</v>
      </c>
      <c r="F2" s="43" t="s">
        <v>9</v>
      </c>
    </row>
    <row r="3">
      <c r="A3" s="9" t="s">
        <v>769</v>
      </c>
      <c r="B3" s="9" t="s">
        <v>17</v>
      </c>
      <c r="C3" s="9" t="s">
        <v>38</v>
      </c>
      <c r="D3" s="9" t="s">
        <v>35</v>
      </c>
      <c r="E3" s="9" t="s">
        <v>770</v>
      </c>
      <c r="F3" s="9" t="s">
        <v>771</v>
      </c>
    </row>
    <row r="4">
      <c r="A4" s="9" t="s">
        <v>772</v>
      </c>
      <c r="B4" s="9" t="s">
        <v>17</v>
      </c>
      <c r="C4" s="9" t="s">
        <v>38</v>
      </c>
      <c r="D4" s="9" t="s">
        <v>34</v>
      </c>
      <c r="E4" s="9" t="s">
        <v>773</v>
      </c>
      <c r="F4" s="9" t="s">
        <v>774</v>
      </c>
    </row>
    <row r="5">
      <c r="A5" s="9" t="s">
        <v>775</v>
      </c>
      <c r="B5" s="9" t="s">
        <v>17</v>
      </c>
      <c r="C5" s="9" t="s">
        <v>89</v>
      </c>
      <c r="D5" s="9" t="s">
        <v>35</v>
      </c>
      <c r="E5" s="9" t="s">
        <v>776</v>
      </c>
      <c r="F5" s="9" t="s">
        <v>777</v>
      </c>
    </row>
    <row r="6">
      <c r="A6" s="9" t="s">
        <v>778</v>
      </c>
      <c r="B6" s="9" t="s">
        <v>117</v>
      </c>
      <c r="C6" s="9" t="s">
        <v>38</v>
      </c>
      <c r="D6" s="9" t="s">
        <v>35</v>
      </c>
      <c r="E6" s="9" t="s">
        <v>779</v>
      </c>
      <c r="F6" s="9" t="s">
        <v>780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8.0"/>
    <col customWidth="1" min="3" max="3" width="15.25"/>
    <col customWidth="1" min="4" max="4" width="17.25"/>
    <col customWidth="1" min="5" max="5" width="11.13"/>
    <col customWidth="1" min="6" max="6" width="6.88"/>
    <col customWidth="1" min="7" max="7" width="8.38"/>
    <col customWidth="1" min="8" max="8" width="13.0"/>
    <col customWidth="1" min="9" max="9" width="17.25"/>
    <col customWidth="1" min="10" max="10" width="16.13"/>
    <col customWidth="1" min="11" max="11" width="16.25"/>
    <col customWidth="1" min="12" max="12" width="20.38"/>
    <col customWidth="1" min="13" max="13" width="19.38"/>
    <col customWidth="1" min="14" max="14" width="13.38"/>
    <col customWidth="1" min="15" max="15" width="12.38"/>
    <col customWidth="1" min="16" max="16" width="14.38"/>
    <col customWidth="1" min="17" max="17" width="13.25"/>
    <col customWidth="1" min="18" max="18" width="14.38"/>
    <col customWidth="1" min="19" max="20" width="16.38"/>
    <col customWidth="1" min="21" max="21" width="8.63"/>
    <col customWidth="1" min="22" max="22" width="10.75"/>
    <col customWidth="1" min="23" max="23" width="11.25"/>
    <col customWidth="1" min="24" max="24" width="11.5"/>
    <col customWidth="1" min="25" max="25" width="15.63"/>
    <col customWidth="1" min="26" max="27" width="16.25"/>
    <col customWidth="1" min="28" max="28" width="12.5"/>
    <col customWidth="1" min="29" max="29" width="30.38"/>
    <col customWidth="1" min="30" max="30" width="36.0"/>
    <col customWidth="1" min="31" max="31" width="15.0"/>
    <col customWidth="1" min="32" max="32" width="52.75"/>
    <col customWidth="1" min="33" max="33" width="22.0"/>
    <col customWidth="1" min="34" max="34" width="21.38"/>
    <col customWidth="1" min="35" max="35" width="14.63"/>
    <col customWidth="1" min="36" max="36" width="14.0"/>
    <col customWidth="1" min="37" max="37" width="6.75"/>
    <col customWidth="1" min="38" max="38" width="8.25"/>
    <col customWidth="1" min="39" max="39" width="12.75"/>
    <col customWidth="1" min="40" max="40" width="10.88"/>
    <col customWidth="1" min="41" max="43" width="11.63"/>
    <col customWidth="1" min="44" max="44" width="12.25"/>
    <col customWidth="1" min="45" max="45" width="12.38"/>
    <col customWidth="1" min="46" max="46" width="18.5"/>
    <col customWidth="1" min="47" max="47" width="45.0"/>
  </cols>
  <sheetData>
    <row r="1">
      <c r="A1" s="66" t="s">
        <v>91</v>
      </c>
      <c r="B1" s="66" t="s">
        <v>781</v>
      </c>
      <c r="C1" s="66" t="s">
        <v>782</v>
      </c>
      <c r="D1" s="66" t="s">
        <v>783</v>
      </c>
      <c r="E1" s="66" t="s">
        <v>29</v>
      </c>
      <c r="F1" s="66" t="s">
        <v>784</v>
      </c>
      <c r="G1" s="66" t="s">
        <v>785</v>
      </c>
      <c r="H1" s="66" t="s">
        <v>786</v>
      </c>
      <c r="I1" s="66" t="s">
        <v>787</v>
      </c>
      <c r="J1" s="66" t="s">
        <v>788</v>
      </c>
      <c r="K1" s="66" t="s">
        <v>789</v>
      </c>
      <c r="L1" s="66" t="s">
        <v>790</v>
      </c>
      <c r="M1" s="66" t="s">
        <v>791</v>
      </c>
      <c r="N1" s="66" t="s">
        <v>792</v>
      </c>
      <c r="O1" s="66" t="s">
        <v>793</v>
      </c>
      <c r="P1" s="66" t="s">
        <v>794</v>
      </c>
      <c r="Q1" s="66" t="s">
        <v>795</v>
      </c>
      <c r="R1" s="66" t="s">
        <v>796</v>
      </c>
      <c r="S1" s="66" t="s">
        <v>797</v>
      </c>
      <c r="T1" s="66" t="s">
        <v>798</v>
      </c>
      <c r="U1" s="66" t="s">
        <v>96</v>
      </c>
      <c r="V1" s="66" t="s">
        <v>49</v>
      </c>
      <c r="W1" s="66" t="s">
        <v>50</v>
      </c>
      <c r="X1" s="66" t="s">
        <v>51</v>
      </c>
      <c r="Y1" s="66" t="s">
        <v>799</v>
      </c>
      <c r="Z1" s="66" t="s">
        <v>800</v>
      </c>
      <c r="AA1" s="66" t="s">
        <v>801</v>
      </c>
      <c r="AB1" s="66" t="s">
        <v>58</v>
      </c>
      <c r="AC1" s="66" t="s">
        <v>59</v>
      </c>
      <c r="AD1" s="66" t="s">
        <v>60</v>
      </c>
      <c r="AE1" s="66" t="s">
        <v>88</v>
      </c>
      <c r="AF1" s="66" t="s">
        <v>802</v>
      </c>
      <c r="AG1" s="66" t="s">
        <v>803</v>
      </c>
      <c r="AH1" s="66" t="s">
        <v>804</v>
      </c>
      <c r="AI1" s="67" t="s">
        <v>805</v>
      </c>
      <c r="AJ1" s="67" t="s">
        <v>806</v>
      </c>
      <c r="AK1" s="67" t="s">
        <v>807</v>
      </c>
      <c r="AL1" s="67" t="s">
        <v>808</v>
      </c>
      <c r="AM1" s="67" t="s">
        <v>809</v>
      </c>
      <c r="AN1" s="67" t="s">
        <v>56</v>
      </c>
      <c r="AO1" s="67" t="s">
        <v>57</v>
      </c>
      <c r="AP1" s="67" t="s">
        <v>61</v>
      </c>
      <c r="AQ1" s="67" t="s">
        <v>106</v>
      </c>
      <c r="AR1" s="67" t="s">
        <v>107</v>
      </c>
      <c r="AS1" s="67" t="s">
        <v>108</v>
      </c>
      <c r="AT1" s="67" t="s">
        <v>810</v>
      </c>
      <c r="AU1" s="67" t="s">
        <v>811</v>
      </c>
    </row>
    <row r="2">
      <c r="A2" s="36" t="s">
        <v>17</v>
      </c>
      <c r="B2" s="36" t="s">
        <v>17</v>
      </c>
      <c r="C2" s="68">
        <f>IF(COUNTIFS(CFTC_Raw!$B:$B,$B2)=0,"",MAXIFS(CFTC_Raw!$A:$A,CFTC_Raw!$B:$B,$B2))</f>
        <v>46175</v>
      </c>
      <c r="D2" s="68">
        <f>IF($C2="","",IF(COUNTIFS(CFTC_Raw!$B:$B,$B2,CFTC_Raw!$A:$A,"&lt;"&amp;$C2)=0,"",MAXIFS(CFTC_Raw!$A:$A,CFTC_Raw!$B:$B,$B2,CFTC_Raw!$A:$A,"&lt;"&amp;$C2)))</f>
        <v>46168</v>
      </c>
      <c r="E2" s="69">
        <f>IF($C2="",0,SUMIFS(CFTC_Raw!$C:$C,CFTC_Raw!$B:$B,$B2,CFTC_Raw!$A:$A,$C2))</f>
        <v>102809</v>
      </c>
      <c r="F2" s="69">
        <f>IF($D2="",0,SUMIFS(CFTC_Raw!$C:$C,CFTC_Raw!$B:$B,$B2,CFTC_Raw!$A:$A,$D2))</f>
        <v>119889</v>
      </c>
      <c r="G2" s="69">
        <f t="shared" ref="G2:G6" si="2">IFERROR(E2-F2,0)</f>
        <v>-17080</v>
      </c>
      <c r="H2" s="69">
        <f>IF($C2="",0,SUMIFS(CFTC_Raw!$D:$D,CFTC_Raw!$B:$B,$B2,CFTC_Raw!$A:$A,$C2)-SUMIFS(CFTC_Raw!$E:$E,CFTC_Raw!$B:$B,$B2,CFTC_Raw!$A:$A,$C2))</f>
        <v>-42661</v>
      </c>
      <c r="I2" s="69">
        <f>IF($D2="",0,SUMIFS(CFTC_Raw!$D:$D,CFTC_Raw!$B:$B,$B2,CFTC_Raw!$A:$A,$D2)-SUMIFS(CFTC_Raw!$E:$E,CFTC_Raw!$B:$B,$B2,CFTC_Raw!$A:$A,$D2))</f>
        <v>-40893</v>
      </c>
      <c r="J2" s="69">
        <f t="shared" ref="J2:J6" si="3">IFERROR(H2-I2,0)</f>
        <v>-1768</v>
      </c>
      <c r="K2" s="69">
        <f>IF($C2="",0,SUMIFS(CFTC_Raw!$F:$F,CFTC_Raw!$B:$B,$B2,CFTC_Raw!$A:$A,$C2)-SUMIFS(CFTC_Raw!$G:$G,CFTC_Raw!$B:$B,$B2,CFTC_Raw!$A:$A,$C2))</f>
        <v>23926</v>
      </c>
      <c r="L2" s="69">
        <f>IF($D2="",0,SUMIFS(CFTC_Raw!$F:$F,CFTC_Raw!$B:$B,$B2,CFTC_Raw!$A:$A,$D2)-SUMIFS(CFTC_Raw!$G:$G,CFTC_Raw!$B:$B,$B2,CFTC_Raw!$A:$A,$D2))</f>
        <v>21520</v>
      </c>
      <c r="M2" s="69">
        <f t="shared" ref="M2:M6" si="4">IFERROR(K2-L2,0)</f>
        <v>2406</v>
      </c>
      <c r="N2" s="70">
        <f>IFERROR(VALUE(LOOKUP(2,1/(FRED_Raw!$B$2:$B$10000&lt;&gt;""),FRED_Raw!$B$2:$B$10000)),0)</f>
        <v>0</v>
      </c>
      <c r="O2" s="70">
        <f t="array" ref="O2">IFERROR(VALUE(INDEX(FRED_Raw!$B$2:$B$10000,MAX(1,MATCH(2,1/(FRED_Raw!$B$2:$B$10000&lt;&gt;""),1)-5))),0)</f>
        <v>0</v>
      </c>
      <c r="P2" s="70">
        <f t="shared" ref="P2:P6" si="5">IFERROR(VALUE(N2)-VALUE(O2),0)</f>
        <v>0</v>
      </c>
      <c r="Q2" s="36" t="str">
        <f t="shared" ref="Q2:Q6" si="6">IF(P2&gt;0.05,"Bearish",IF(P2&lt;-0.05,"Bullish","Neutral"))</f>
        <v>Neutral</v>
      </c>
      <c r="R2" s="36" t="str">
        <f t="shared" ref="R2:R6" si="7">IF($M2="","Neutral",IF($M2&lt;0,"Bearish",IF($M2&gt;0,"Bullish","Neutral")))</f>
        <v>Bullish</v>
      </c>
      <c r="S2" s="36" t="str">
        <f t="shared" ref="S2:S6" si="8">IF($J2="","Neutral",IF($J2&gt;10000,"Bullish",IF($J2&lt;-10000,"Bearish","Neutral")))</f>
        <v>Neutral</v>
      </c>
      <c r="T2" s="36" t="str">
        <f t="shared" ref="T2:T6" si="9">IF(OR($G2="",$M2=""),"Neutral",IF(AND($G2&lt;0,$M2&lt;0),"Bearish",IF(AND($G2&gt;0,$M2&gt;0),"Bullish","Neutral")))</f>
        <v>Neutral</v>
      </c>
      <c r="U2" s="36" t="str">
        <f t="array" ref="U2">IFERROR(XLOOKUP($A2&amp;"|DXY",Live_Inputs!$A$2:$A$200&amp;"|"&amp;Live_Inputs!$B$2:$B$200,Live_Inputs!$D$2:$D$200),"Neutral")</f>
        <v>Neutral</v>
      </c>
      <c r="V2" s="36">
        <f t="shared" ref="V2:V6" si="10">IF($U2="Bullish",1,0)+IF($Q2="Bullish",1,0)+IF($R2="Bullish",1,0)+IF($T2="Bullish",1,0)</f>
        <v>1</v>
      </c>
      <c r="W2" s="36">
        <f t="shared" ref="W2:W6" si="11">IF($U2="Bearish",1,0)+IF($Q2="Bearish",1,0)+IF($R2="Bearish",1,0)+IF($T2="Bearish",1,0)</f>
        <v>0</v>
      </c>
      <c r="X2" s="36">
        <f t="shared" ref="X2:X6" si="12">IF($U2="Neutral",1,0)+IF($Q2="Neutral",1,0)+IF($R2="Neutral",1,0)+IF($T2="Neutral",1,0)</f>
        <v>3</v>
      </c>
      <c r="Y2" s="71">
        <f t="shared" ref="Y2:Y6" si="13">IF($U2="Bullish",0.3,0)+IF($Q2="Bullish",0.3,0)+IF($R2="Bullish",0.25,0)+IF($T2="Bullish",0.15,0)</f>
        <v>0.25</v>
      </c>
      <c r="Z2" s="71">
        <f t="shared" ref="Z2:Z6" si="14">IF($U2="Bearish",0.3,0)+IF($Q2="Bearish",0.3,0)+IF($R2="Bearish",0.25,0)+IF($T2="Bearish",0.15,0)</f>
        <v>0</v>
      </c>
      <c r="AA2" s="71">
        <f t="shared" ref="AA2:AA6" si="15">IF($U2="Neutral",0.3,0)+IF($Q2="Neutral",0.3,0)+IF($R2="Neutral",0.25,0)+IF($T2="Neutral",0.15,0)</f>
        <v>0.75</v>
      </c>
      <c r="AB2" s="36" t="str">
        <f t="shared" ref="AB2:AB6" si="16">IF($Z2&gt;=0.75,"Strong Bearish",IF($Z2&gt;=0.55,"Bearish Bias",IF($Y2&gt;=0.75,"Strong Bullish",IF($Y2&gt;=0.55,"Bullish Bias","Neutral / Mixed"))))</f>
        <v>Neutral / Mixed</v>
      </c>
      <c r="AC2" s="36" t="str">
        <f t="shared" ref="AC2:AC6" si="17">$V2&amp;"/4 Bullish | "&amp;$W2&amp;"/4 Bearish | "&amp;$X2&amp;"/4 Neutral"</f>
        <v>1/4 Bullish | 0/4 Bearish | 3/4 Neutral</v>
      </c>
      <c r="AD2" s="36" t="str">
        <f t="shared" ref="AD2:AD6" si="18">IF($AB2="Strong Bearish","Machine pressure is strongly bearish; bearish continuation/acceptance evidence has priority.",IF($AB2="Bearish Bias","Machine leans bearish; wait for structure/timing confirmation.",IF($AB2="Strong Bullish","Machine pressure is strongly bullish; bullish expansion evidence has priority.",IF($AB2="Bullish Bias","Machine leans bullish; wait for structure/timing confirmation.","Mixed machine; wait for cleaner alignment."))))</f>
        <v>Mixed machine; wait for cleaner alignment.</v>
      </c>
      <c r="AE2" s="72">
        <f t="shared" ref="AE2:AE6" si="19">NOW()</f>
        <v>46182.82906</v>
      </c>
      <c r="AF2" s="36" t="str">
        <f t="shared" ref="AF2:AF6" si="20">"RealYield Δ "&amp;TEXT($P2,"0.00")&amp;" | NonComm Δ "&amp;TEXT($M2,"#,##0")&amp;" | Commercial Δ "&amp;TEXT($J2,"#,##0")&amp;" | OI Δ "&amp;TEXT($G2,"#,##0")</f>
        <v>RealYield Δ 0.00 | NonComm Δ 2,406 | Commercial Δ -1,768 | OI Δ -17,080</v>
      </c>
      <c r="AG2" s="36" t="str">
        <f t="shared" ref="AG2:AG6" si="21">IF($J2="","No commercial history",IF(ABS($J2)&gt;=40000,"Major commercial shift",IF(ABS($J2)&gt;=20000,"Large commercial shift",IF(ABS($J2)&gt;=10000,"Moderate commercial shift","Normal commercial change"))))</f>
        <v>Normal commercial change</v>
      </c>
      <c r="AH2" s="36" t="str">
        <f t="shared" ref="AH2:AH6" si="22">IF($M2="","No positioning history",IF(ABS($M2)&gt;=40000,"Major positioning shift",IF(ABS($M2)&gt;=20000,"Large positioning shift",IF(ABS($M2)&gt;=10000,"Moderate positioning shift","Normal positioning change"))))</f>
        <v>Normal positioning change</v>
      </c>
      <c r="AI2" s="73">
        <f t="shared" ref="AI2:AI6" si="23">IF(J2&lt;=-10000,-40,IF(J2&lt;=-5000,-25,IF(J2&lt;=-1000,-10,IF(J2&gt;=10000,40,IF(J2&gt;=5000,25,IF(J2&gt;=1000,10,0))))))</f>
        <v>-10</v>
      </c>
      <c r="AJ2" s="73">
        <f t="shared" ref="AJ2:AJ6" si="24">IF(M2&gt;=10000,40,IF(M2&gt;=5000,25,IF(M2&gt;=1000,10,IF(M2&lt;=-10000,-40,IF(M2&lt;=-5000,-25,IF(M2&lt;=-1000,-10,0))))))</f>
        <v>10</v>
      </c>
      <c r="AK2" s="73">
        <f t="shared" ref="AK2:AK6" si="25">IF(T2="Bullish",IF(ABS(G2)&gt;=5000,15,IF(ABS(G2)&gt;=2000,10,IF(ABS(G2)&gt;=500,5,0))),IF(T2="Bearish",-IF(ABS(G2)&gt;=5000,15,IF(ABS(G2)&gt;=2000,10,IF(ABS(G2)&gt;=500,5,0))),0))</f>
        <v>0</v>
      </c>
      <c r="AL2" s="73">
        <f t="shared" ref="AL2:AL6" si="26">IF(U2="Bullish",30,IF(U2="Bearish",-30,0))</f>
        <v>0</v>
      </c>
      <c r="AM2" s="73">
        <f t="shared" ref="AM2:AM6" si="27">IF(Q2="Bullish",30,IF(Q2="Bearish",-30,0))</f>
        <v>0</v>
      </c>
      <c r="AN2" s="73">
        <f t="shared" ref="AN2:AN6" si="28">IFERROR(SUM(MAX(AI2,0),MAX(AJ2,0),MAX(AK2,0),MAX(AL2,0),MAX(AM2,0)),0)</f>
        <v>10</v>
      </c>
      <c r="AO2" s="73">
        <f t="shared" ref="AO2:AO6" si="29">IFERROR(ABS(SUM(MIN(AI2,0),MIN(AJ2,0),MIN(AK2,0),MIN(AL2,0),MIN(AM2,0))),0)</f>
        <v>10</v>
      </c>
      <c r="AP2" s="73">
        <f t="shared" ref="AP2:AP6" si="30">MAX(0,155-IFERROR(AN2,0)-IFERROR(AO2,0))</f>
        <v>135</v>
      </c>
      <c r="AQ2" s="74">
        <f t="shared" ref="AQ2:AS2" si="1">IFERROR(AN2/155,0)</f>
        <v>0.06451612903</v>
      </c>
      <c r="AR2" s="74">
        <f t="shared" si="1"/>
        <v>0.06451612903</v>
      </c>
      <c r="AS2" s="74">
        <f t="shared" si="1"/>
        <v>0.8709677419</v>
      </c>
      <c r="AT2" s="41" t="str">
        <f t="shared" ref="AT2:AT6" si="32">IF(AR2&gt;=0.7,"Strong Bearish",IF(AQ2&gt;=0.7,"Strong Bullish",IF(AR2&gt;=0.55,"Bearish",IF(AQ2&gt;=0.55,"Bullish",IF(AR2&gt;=0.4,"Moderate Bearish",IF(AQ2&gt;=0.4,"Moderate Bullish","Neutral / Mixed"))))))</f>
        <v>Neutral / Mixed</v>
      </c>
      <c r="AU2" s="36" t="str">
        <f t="shared" ref="AU2:AU6" si="33">"Pts → Bull "&amp;ROUND(IFERROR(AN2,0),0)&amp;" | Bear "&amp;ROUND(IFERROR(AO2,0),0)&amp;" | Neutral "&amp;ROUND(IFERROR(AP2,0),0)&amp;" || Commercial "&amp;TEXT(IFERROR(J2,0),"#,##0")&amp;" ("&amp;IFERROR(AI2,0)&amp;") | NonComm "&amp;TEXT(IFERROR(M2,0),"#,##0")&amp;" ("&amp;IFERROR(AJ2,0)&amp;") | OI "&amp;TEXT(IFERROR(G2,0),"#,##0")&amp;" ("&amp;IFERROR(AK2,0)&amp;") | DXY "&amp;U2&amp;" ("&amp;IFERROR(AL2,0)&amp;") | RealYield "&amp;Q2&amp;" ("&amp;IFERROR(AM2,0)&amp;")"</f>
        <v>Pts → Bull 10 | Bear 10 | Neutral 135 || Commercial -1,768 (-10) | NonComm 2,406 (10) | OI -17,080 (0) | DXY Neutral (0) | RealYield Neutral (0)</v>
      </c>
    </row>
    <row r="3">
      <c r="A3" s="36" t="s">
        <v>117</v>
      </c>
      <c r="B3" s="36" t="s">
        <v>117</v>
      </c>
      <c r="C3" s="68">
        <f>IF(COUNTIFS(CFTC_Raw!$B:$B,$B3)=0,"",MAXIFS(CFTC_Raw!$A:$A,CFTC_Raw!$B:$B,$B3))</f>
        <v>46175</v>
      </c>
      <c r="D3" s="68">
        <f>IF($C3="","",IF(COUNTIFS(CFTC_Raw!$B:$B,$B3,CFTC_Raw!$A:$A,"&lt;"&amp;$C3)=0,"",MAXIFS(CFTC_Raw!$A:$A,CFTC_Raw!$B:$B,$B3,CFTC_Raw!$A:$A,"&lt;"&amp;$C3)))</f>
        <v>46168</v>
      </c>
      <c r="E3" s="69">
        <f>IF($C3="",0,SUMIFS(CFTC_Raw!$C:$C,CFTC_Raw!$B:$B,$B3,CFTC_Raw!$A:$A,$C3))</f>
        <v>77429</v>
      </c>
      <c r="F3" s="69">
        <f>IF($D3="",0,SUMIFS(CFTC_Raw!$C:$C,CFTC_Raw!$B:$B,$B3,CFTC_Raw!$A:$A,$D3))</f>
        <v>78884</v>
      </c>
      <c r="G3" s="69">
        <f t="shared" si="2"/>
        <v>-1455</v>
      </c>
      <c r="H3" s="69">
        <f>IF($C3="",0,SUMIFS(CFTC_Raw!$D:$D,CFTC_Raw!$B:$B,$B3,CFTC_Raw!$A:$A,$C3)-SUMIFS(CFTC_Raw!$E:$E,CFTC_Raw!$B:$B,$B3,CFTC_Raw!$A:$A,$C3))</f>
        <v>-14972</v>
      </c>
      <c r="I3" s="69">
        <f>IF($D3="",0,SUMIFS(CFTC_Raw!$D:$D,CFTC_Raw!$B:$B,$B3,CFTC_Raw!$A:$A,$D3)-SUMIFS(CFTC_Raw!$E:$E,CFTC_Raw!$B:$B,$B3,CFTC_Raw!$A:$A,$D3))</f>
        <v>-13774</v>
      </c>
      <c r="J3" s="69">
        <f t="shared" si="3"/>
        <v>-1198</v>
      </c>
      <c r="K3" s="69">
        <f>IF($C3="",0,SUMIFS(CFTC_Raw!$F:$F,CFTC_Raw!$B:$B,$B3,CFTC_Raw!$A:$A,$C3)-SUMIFS(CFTC_Raw!$G:$G,CFTC_Raw!$B:$B,$B3,CFTC_Raw!$A:$A,$C3))</f>
        <v>12049</v>
      </c>
      <c r="L3" s="69">
        <f>IF($D3="",0,SUMIFS(CFTC_Raw!$F:$F,CFTC_Raw!$B:$B,$B3,CFTC_Raw!$A:$A,$D3)-SUMIFS(CFTC_Raw!$G:$G,CFTC_Raw!$B:$B,$B3,CFTC_Raw!$A:$A,$D3))</f>
        <v>10110</v>
      </c>
      <c r="M3" s="69">
        <f t="shared" si="4"/>
        <v>1939</v>
      </c>
      <c r="N3" s="70">
        <f>IFERROR(VALUE(LOOKUP(2,1/(FRED_Raw!$B$2:$B$10000&lt;&gt;""),FRED_Raw!$B$2:$B$10000)),0)</f>
        <v>0</v>
      </c>
      <c r="O3" s="70">
        <f t="array" ref="O3">IFERROR(VALUE(INDEX(FRED_Raw!$B$2:$B$10000,MAX(1,MATCH(2,1/(FRED_Raw!$B$2:$B$10000&lt;&gt;""),1)-5))),0)</f>
        <v>0</v>
      </c>
      <c r="P3" s="70">
        <f t="shared" si="5"/>
        <v>0</v>
      </c>
      <c r="Q3" s="36" t="str">
        <f t="shared" si="6"/>
        <v>Neutral</v>
      </c>
      <c r="R3" s="36" t="str">
        <f t="shared" si="7"/>
        <v>Bullish</v>
      </c>
      <c r="S3" s="36" t="str">
        <f t="shared" si="8"/>
        <v>Neutral</v>
      </c>
      <c r="T3" s="36" t="str">
        <f t="shared" si="9"/>
        <v>Neutral</v>
      </c>
      <c r="U3" s="36" t="str">
        <f t="array" ref="U3">IFERROR(XLOOKUP($A3&amp;"|DXY",Live_Inputs!$A$2:$A$200&amp;"|"&amp;Live_Inputs!$B$2:$B$200,Live_Inputs!$D$2:$D$200),"Neutral")</f>
        <v>Neutral</v>
      </c>
      <c r="V3" s="36">
        <f t="shared" si="10"/>
        <v>1</v>
      </c>
      <c r="W3" s="36">
        <f t="shared" si="11"/>
        <v>0</v>
      </c>
      <c r="X3" s="36">
        <f t="shared" si="12"/>
        <v>3</v>
      </c>
      <c r="Y3" s="71">
        <f t="shared" si="13"/>
        <v>0.25</v>
      </c>
      <c r="Z3" s="71">
        <f t="shared" si="14"/>
        <v>0</v>
      </c>
      <c r="AA3" s="71">
        <f t="shared" si="15"/>
        <v>0.75</v>
      </c>
      <c r="AB3" s="36" t="str">
        <f t="shared" si="16"/>
        <v>Neutral / Mixed</v>
      </c>
      <c r="AC3" s="36" t="str">
        <f t="shared" si="17"/>
        <v>1/4 Bullish | 0/4 Bearish | 3/4 Neutral</v>
      </c>
      <c r="AD3" s="36" t="str">
        <f t="shared" si="18"/>
        <v>Mixed machine; wait for cleaner alignment.</v>
      </c>
      <c r="AE3" s="72">
        <f t="shared" si="19"/>
        <v>46182.82906</v>
      </c>
      <c r="AF3" s="36" t="str">
        <f t="shared" si="20"/>
        <v>RealYield Δ 0.00 | NonComm Δ 1,939 | Commercial Δ -1,198 | OI Δ -1,455</v>
      </c>
      <c r="AG3" s="36" t="str">
        <f t="shared" si="21"/>
        <v>Normal commercial change</v>
      </c>
      <c r="AH3" s="36" t="str">
        <f t="shared" si="22"/>
        <v>Normal positioning change</v>
      </c>
      <c r="AI3" s="73">
        <f t="shared" si="23"/>
        <v>-10</v>
      </c>
      <c r="AJ3" s="73">
        <f t="shared" si="24"/>
        <v>10</v>
      </c>
      <c r="AK3" s="73">
        <f t="shared" si="25"/>
        <v>0</v>
      </c>
      <c r="AL3" s="73">
        <f t="shared" si="26"/>
        <v>0</v>
      </c>
      <c r="AM3" s="73">
        <f t="shared" si="27"/>
        <v>0</v>
      </c>
      <c r="AN3" s="73">
        <f t="shared" si="28"/>
        <v>10</v>
      </c>
      <c r="AO3" s="73">
        <f t="shared" si="29"/>
        <v>10</v>
      </c>
      <c r="AP3" s="73">
        <f t="shared" si="30"/>
        <v>135</v>
      </c>
      <c r="AQ3" s="74">
        <f t="shared" ref="AQ3:AS3" si="31">IFERROR(AN3/155,0)</f>
        <v>0.06451612903</v>
      </c>
      <c r="AR3" s="74">
        <f t="shared" si="31"/>
        <v>0.06451612903</v>
      </c>
      <c r="AS3" s="74">
        <f t="shared" si="31"/>
        <v>0.8709677419</v>
      </c>
      <c r="AT3" s="41" t="str">
        <f t="shared" si="32"/>
        <v>Neutral / Mixed</v>
      </c>
      <c r="AU3" s="36" t="str">
        <f t="shared" si="33"/>
        <v>Pts → Bull 10 | Bear 10 | Neutral 135 || Commercial -1,198 (-10) | NonComm 1,939 (10) | OI -1,455 (0) | DXY Neutral (0) | RealYield Neutral (0)</v>
      </c>
    </row>
    <row r="4">
      <c r="A4" s="36" t="s">
        <v>118</v>
      </c>
      <c r="B4" s="36" t="s">
        <v>118</v>
      </c>
      <c r="C4" s="68">
        <f>IF(COUNTIFS(CFTC_Raw!$B:$B,$B4)=0,"",MAXIFS(CFTC_Raw!$A:$A,CFTC_Raw!$B:$B,$B4))</f>
        <v>46175</v>
      </c>
      <c r="D4" s="68">
        <f>IF($C4="","",IF(COUNTIFS(CFTC_Raw!$B:$B,$B4,CFTC_Raw!$A:$A,"&lt;"&amp;$C4)=0,"",MAXIFS(CFTC_Raw!$A:$A,CFTC_Raw!$B:$B,$B4,CFTC_Raw!$A:$A,"&lt;"&amp;$C4)))</f>
        <v>46168</v>
      </c>
      <c r="E4" s="69">
        <f>IF($C4="",0,SUMIFS(CFTC_Raw!$C:$C,CFTC_Raw!$B:$B,$B4,CFTC_Raw!$A:$A,$C4))</f>
        <v>2149231</v>
      </c>
      <c r="F4" s="69">
        <f>IF($D4="",0,SUMIFS(CFTC_Raw!$C:$C,CFTC_Raw!$B:$B,$B4,CFTC_Raw!$A:$A,$D4))</f>
        <v>2093621</v>
      </c>
      <c r="G4" s="69">
        <f t="shared" si="2"/>
        <v>55610</v>
      </c>
      <c r="H4" s="69">
        <f>IF($C4="",0,SUMIFS(CFTC_Raw!$D:$D,CFTC_Raw!$B:$B,$B4,CFTC_Raw!$A:$A,$C4)-SUMIFS(CFTC_Raw!$E:$E,CFTC_Raw!$B:$B,$B4,CFTC_Raw!$A:$A,$C4))</f>
        <v>110074</v>
      </c>
      <c r="I4" s="69">
        <f>IF($D4="",0,SUMIFS(CFTC_Raw!$D:$D,CFTC_Raw!$B:$B,$B4,CFTC_Raw!$A:$A,$D4)-SUMIFS(CFTC_Raw!$E:$E,CFTC_Raw!$B:$B,$B4,CFTC_Raw!$A:$A,$D4))</f>
        <v>54929</v>
      </c>
      <c r="J4" s="69">
        <f t="shared" si="3"/>
        <v>55145</v>
      </c>
      <c r="K4" s="69">
        <f>IF($C4="",0,SUMIFS(CFTC_Raw!$F:$F,CFTC_Raw!$B:$B,$B4,CFTC_Raw!$A:$A,$C4)-SUMIFS(CFTC_Raw!$G:$G,CFTC_Raw!$B:$B,$B4,CFTC_Raw!$A:$A,$C4))</f>
        <v>-220768</v>
      </c>
      <c r="L4" s="69">
        <f>IF($D4="",0,SUMIFS(CFTC_Raw!$F:$F,CFTC_Raw!$B:$B,$B4,CFTC_Raw!$A:$A,$D4)-SUMIFS(CFTC_Raw!$G:$G,CFTC_Raw!$B:$B,$B4,CFTC_Raw!$A:$A,$D4))</f>
        <v>-165831</v>
      </c>
      <c r="M4" s="69">
        <f t="shared" si="4"/>
        <v>-54937</v>
      </c>
      <c r="N4" s="70">
        <f>IFERROR(VALUE(LOOKUP(2,1/(FRED_Raw!$B$2:$B$10000&lt;&gt;""),FRED_Raw!$B$2:$B$10000)),0)</f>
        <v>0</v>
      </c>
      <c r="O4" s="70">
        <f t="array" ref="O4">IFERROR(VALUE(INDEX(FRED_Raw!$B$2:$B$10000,MAX(1,MATCH(2,1/(FRED_Raw!$B$2:$B$10000&lt;&gt;""),1)-5))),0)</f>
        <v>0</v>
      </c>
      <c r="P4" s="70">
        <f t="shared" si="5"/>
        <v>0</v>
      </c>
      <c r="Q4" s="36" t="str">
        <f t="shared" si="6"/>
        <v>Neutral</v>
      </c>
      <c r="R4" s="36" t="str">
        <f t="shared" si="7"/>
        <v>Bearish</v>
      </c>
      <c r="S4" s="36" t="str">
        <f t="shared" si="8"/>
        <v>Bullish</v>
      </c>
      <c r="T4" s="36" t="str">
        <f t="shared" si="9"/>
        <v>Neutral</v>
      </c>
      <c r="U4" s="36" t="str">
        <f t="array" ref="U4">IFERROR(XLOOKUP($A4&amp;"|DXY",Live_Inputs!$A$2:$A$200&amp;"|"&amp;Live_Inputs!$B$2:$B$200,Live_Inputs!$D$2:$D$200),"Neutral")</f>
        <v>Neutral</v>
      </c>
      <c r="V4" s="36">
        <f t="shared" si="10"/>
        <v>0</v>
      </c>
      <c r="W4" s="36">
        <f t="shared" si="11"/>
        <v>1</v>
      </c>
      <c r="X4" s="36">
        <f t="shared" si="12"/>
        <v>3</v>
      </c>
      <c r="Y4" s="71">
        <f t="shared" si="13"/>
        <v>0</v>
      </c>
      <c r="Z4" s="71">
        <f t="shared" si="14"/>
        <v>0.25</v>
      </c>
      <c r="AA4" s="71">
        <f t="shared" si="15"/>
        <v>0.75</v>
      </c>
      <c r="AB4" s="36" t="str">
        <f t="shared" si="16"/>
        <v>Neutral / Mixed</v>
      </c>
      <c r="AC4" s="36" t="str">
        <f t="shared" si="17"/>
        <v>0/4 Bullish | 1/4 Bearish | 3/4 Neutral</v>
      </c>
      <c r="AD4" s="36" t="str">
        <f t="shared" si="18"/>
        <v>Mixed machine; wait for cleaner alignment.</v>
      </c>
      <c r="AE4" s="72">
        <f t="shared" si="19"/>
        <v>46182.82906</v>
      </c>
      <c r="AF4" s="36" t="str">
        <f t="shared" si="20"/>
        <v>RealYield Δ 0.00 | NonComm Δ -54,937 | Commercial Δ 55,145 | OI Δ 55,610</v>
      </c>
      <c r="AG4" s="36" t="str">
        <f t="shared" si="21"/>
        <v>Major commercial shift</v>
      </c>
      <c r="AH4" s="36" t="str">
        <f t="shared" si="22"/>
        <v>Major positioning shift</v>
      </c>
      <c r="AI4" s="73">
        <f t="shared" si="23"/>
        <v>40</v>
      </c>
      <c r="AJ4" s="73">
        <f t="shared" si="24"/>
        <v>-40</v>
      </c>
      <c r="AK4" s="73">
        <f t="shared" si="25"/>
        <v>0</v>
      </c>
      <c r="AL4" s="73">
        <f t="shared" si="26"/>
        <v>0</v>
      </c>
      <c r="AM4" s="73">
        <f t="shared" si="27"/>
        <v>0</v>
      </c>
      <c r="AN4" s="73">
        <f t="shared" si="28"/>
        <v>40</v>
      </c>
      <c r="AO4" s="73">
        <f t="shared" si="29"/>
        <v>40</v>
      </c>
      <c r="AP4" s="73">
        <f t="shared" si="30"/>
        <v>75</v>
      </c>
      <c r="AQ4" s="74">
        <f t="shared" ref="AQ4:AS4" si="34">IFERROR(AN4/155,0)</f>
        <v>0.2580645161</v>
      </c>
      <c r="AR4" s="74">
        <f t="shared" si="34"/>
        <v>0.2580645161</v>
      </c>
      <c r="AS4" s="74">
        <f t="shared" si="34"/>
        <v>0.4838709677</v>
      </c>
      <c r="AT4" s="41" t="str">
        <f t="shared" si="32"/>
        <v>Neutral / Mixed</v>
      </c>
      <c r="AU4" s="36" t="str">
        <f t="shared" si="33"/>
        <v>Pts → Bull 40 | Bear 40 | Neutral 75 || Commercial 55,145 (40) | NonComm -54,937 (-40) | OI 55,610 (0) | DXY Neutral (0) | RealYield Neutral (0)</v>
      </c>
    </row>
    <row r="5">
      <c r="A5" s="36" t="s">
        <v>119</v>
      </c>
      <c r="B5" s="36" t="s">
        <v>119</v>
      </c>
      <c r="C5" s="68">
        <f>IF(COUNTIFS(CFTC_Raw!$B:$B,$B5)=0,"",MAXIFS(CFTC_Raw!$A:$A,CFTC_Raw!$B:$B,$B5))</f>
        <v>46175</v>
      </c>
      <c r="D5" s="68">
        <f>IF($C5="","",IF(COUNTIFS(CFTC_Raw!$B:$B,$B5,CFTC_Raw!$A:$A,"&lt;"&amp;$C5)=0,"",MAXIFS(CFTC_Raw!$A:$A,CFTC_Raw!$B:$B,$B5,CFTC_Raw!$A:$A,"&lt;"&amp;$C5)))</f>
        <v>46168</v>
      </c>
      <c r="E5" s="69">
        <f>IF($C5="",0,SUMIFS(CFTC_Raw!$C:$C,CFTC_Raw!$B:$B,$B5,CFTC_Raw!$A:$A,$C5))</f>
        <v>345837</v>
      </c>
      <c r="F5" s="69">
        <f>IF($D5="",0,SUMIFS(CFTC_Raw!$C:$C,CFTC_Raw!$B:$B,$B5,CFTC_Raw!$A:$A,$D5))</f>
        <v>330617</v>
      </c>
      <c r="G5" s="69">
        <f t="shared" si="2"/>
        <v>15220</v>
      </c>
      <c r="H5" s="69">
        <f>IF($C5="",0,SUMIFS(CFTC_Raw!$D:$D,CFTC_Raw!$B:$B,$B5,CFTC_Raw!$A:$A,$C5)-SUMIFS(CFTC_Raw!$E:$E,CFTC_Raw!$B:$B,$B5,CFTC_Raw!$A:$A,$C5))</f>
        <v>15476</v>
      </c>
      <c r="I5" s="69">
        <f>IF($D5="",0,SUMIFS(CFTC_Raw!$D:$D,CFTC_Raw!$B:$B,$B5,CFTC_Raw!$A:$A,$D5)-SUMIFS(CFTC_Raw!$E:$E,CFTC_Raw!$B:$B,$B5,CFTC_Raw!$A:$A,$D5))</f>
        <v>174</v>
      </c>
      <c r="J5" s="69">
        <f t="shared" si="3"/>
        <v>15302</v>
      </c>
      <c r="K5" s="69">
        <f>IF($C5="",0,SUMIFS(CFTC_Raw!$F:$F,CFTC_Raw!$B:$B,$B5,CFTC_Raw!$A:$A,$C5)-SUMIFS(CFTC_Raw!$G:$G,CFTC_Raw!$B:$B,$B5,CFTC_Raw!$A:$A,$C5))</f>
        <v>-22085</v>
      </c>
      <c r="L5" s="69">
        <f>IF($D5="",0,SUMIFS(CFTC_Raw!$F:$F,CFTC_Raw!$B:$B,$B5,CFTC_Raw!$A:$A,$D5)-SUMIFS(CFTC_Raw!$G:$G,CFTC_Raw!$B:$B,$B5,CFTC_Raw!$A:$A,$D5))</f>
        <v>-11282</v>
      </c>
      <c r="M5" s="69">
        <f t="shared" si="4"/>
        <v>-10803</v>
      </c>
      <c r="N5" s="70">
        <f>IFERROR(VALUE(LOOKUP(2,1/(FRED_Raw!$B$2:$B$10000&lt;&gt;""),FRED_Raw!$B$2:$B$10000)),0)</f>
        <v>0</v>
      </c>
      <c r="O5" s="70">
        <f t="array" ref="O5">IFERROR(VALUE(INDEX(FRED_Raw!$B$2:$B$10000,MAX(1,MATCH(2,1/(FRED_Raw!$B$2:$B$10000&lt;&gt;""),1)-5))),0)</f>
        <v>0</v>
      </c>
      <c r="P5" s="70">
        <f t="shared" si="5"/>
        <v>0</v>
      </c>
      <c r="Q5" s="36" t="str">
        <f t="shared" si="6"/>
        <v>Neutral</v>
      </c>
      <c r="R5" s="36" t="str">
        <f t="shared" si="7"/>
        <v>Bearish</v>
      </c>
      <c r="S5" s="36" t="str">
        <f t="shared" si="8"/>
        <v>Bullish</v>
      </c>
      <c r="T5" s="36" t="str">
        <f t="shared" si="9"/>
        <v>Neutral</v>
      </c>
      <c r="U5" s="36" t="str">
        <f t="array" ref="U5">IFERROR(XLOOKUP($A5&amp;"|DXY",Live_Inputs!$A$2:$A$200&amp;"|"&amp;Live_Inputs!$B$2:$B$200,Live_Inputs!$D$2:$D$200),"Neutral")</f>
        <v>Neutral</v>
      </c>
      <c r="V5" s="36">
        <f t="shared" si="10"/>
        <v>0</v>
      </c>
      <c r="W5" s="36">
        <f t="shared" si="11"/>
        <v>1</v>
      </c>
      <c r="X5" s="36">
        <f t="shared" si="12"/>
        <v>3</v>
      </c>
      <c r="Y5" s="71">
        <f t="shared" si="13"/>
        <v>0</v>
      </c>
      <c r="Z5" s="71">
        <f t="shared" si="14"/>
        <v>0.25</v>
      </c>
      <c r="AA5" s="71">
        <f t="shared" si="15"/>
        <v>0.75</v>
      </c>
      <c r="AB5" s="36" t="str">
        <f t="shared" si="16"/>
        <v>Neutral / Mixed</v>
      </c>
      <c r="AC5" s="36" t="str">
        <f t="shared" si="17"/>
        <v>0/4 Bullish | 1/4 Bearish | 3/4 Neutral</v>
      </c>
      <c r="AD5" s="36" t="str">
        <f t="shared" si="18"/>
        <v>Mixed machine; wait for cleaner alignment.</v>
      </c>
      <c r="AE5" s="72">
        <f t="shared" si="19"/>
        <v>46182.82906</v>
      </c>
      <c r="AF5" s="36" t="str">
        <f t="shared" si="20"/>
        <v>RealYield Δ 0.00 | NonComm Δ -10,803 | Commercial Δ 15,302 | OI Δ 15,220</v>
      </c>
      <c r="AG5" s="36" t="str">
        <f t="shared" si="21"/>
        <v>Moderate commercial shift</v>
      </c>
      <c r="AH5" s="36" t="str">
        <f t="shared" si="22"/>
        <v>Moderate positioning shift</v>
      </c>
      <c r="AI5" s="73">
        <f t="shared" si="23"/>
        <v>40</v>
      </c>
      <c r="AJ5" s="73">
        <f t="shared" si="24"/>
        <v>-40</v>
      </c>
      <c r="AK5" s="73">
        <f t="shared" si="25"/>
        <v>0</v>
      </c>
      <c r="AL5" s="73">
        <f t="shared" si="26"/>
        <v>0</v>
      </c>
      <c r="AM5" s="73">
        <f t="shared" si="27"/>
        <v>0</v>
      </c>
      <c r="AN5" s="73">
        <f t="shared" si="28"/>
        <v>40</v>
      </c>
      <c r="AO5" s="73">
        <f t="shared" si="29"/>
        <v>40</v>
      </c>
      <c r="AP5" s="73">
        <f t="shared" si="30"/>
        <v>75</v>
      </c>
      <c r="AQ5" s="74">
        <f t="shared" ref="AQ5:AS5" si="35">IFERROR(AN5/155,0)</f>
        <v>0.2580645161</v>
      </c>
      <c r="AR5" s="74">
        <f t="shared" si="35"/>
        <v>0.2580645161</v>
      </c>
      <c r="AS5" s="74">
        <f t="shared" si="35"/>
        <v>0.4838709677</v>
      </c>
      <c r="AT5" s="41" t="str">
        <f t="shared" si="32"/>
        <v>Neutral / Mixed</v>
      </c>
      <c r="AU5" s="36" t="str">
        <f t="shared" si="33"/>
        <v>Pts → Bull 40 | Bear 40 | Neutral 75 || Commercial 15,302 (40) | NonComm -10,803 (-40) | OI 15,220 (0) | DXY Neutral (0) | RealYield Neutral (0)</v>
      </c>
    </row>
    <row r="6">
      <c r="A6" s="36" t="s">
        <v>120</v>
      </c>
      <c r="B6" s="36" t="s">
        <v>120</v>
      </c>
      <c r="C6" s="68" t="str">
        <f>IF(COUNTIFS(CFTC_Raw!$B:$B,$B6)=0,"",MAXIFS(CFTC_Raw!$A:$A,CFTC_Raw!$B:$B,$B6))</f>
        <v/>
      </c>
      <c r="D6" s="68" t="str">
        <f>IF($C6="","",IF(COUNTIFS(CFTC_Raw!$B:$B,$B6,CFTC_Raw!$A:$A,"&lt;"&amp;$C6)=0,"",MAXIFS(CFTC_Raw!$A:$A,CFTC_Raw!$B:$B,$B6,CFTC_Raw!$A:$A,"&lt;"&amp;$C6)))</f>
        <v/>
      </c>
      <c r="E6" s="69">
        <f>IF($C6="",0,SUMIFS(CFTC_Raw!$C:$C,CFTC_Raw!$B:$B,$B6,CFTC_Raw!$A:$A,$C6))</f>
        <v>0</v>
      </c>
      <c r="F6" s="69">
        <f>IF($D6="",0,SUMIFS(CFTC_Raw!$C:$C,CFTC_Raw!$B:$B,$B6,CFTC_Raw!$A:$A,$D6))</f>
        <v>0</v>
      </c>
      <c r="G6" s="69">
        <f t="shared" si="2"/>
        <v>0</v>
      </c>
      <c r="H6" s="69">
        <f>IF($C6="",0,SUMIFS(CFTC_Raw!$D:$D,CFTC_Raw!$B:$B,$B6,CFTC_Raw!$A:$A,$C6)-SUMIFS(CFTC_Raw!$E:$E,CFTC_Raw!$B:$B,$B6,CFTC_Raw!$A:$A,$C6))</f>
        <v>0</v>
      </c>
      <c r="I6" s="69">
        <f>IF($D6="",0,SUMIFS(CFTC_Raw!$D:$D,CFTC_Raw!$B:$B,$B6,CFTC_Raw!$A:$A,$D6)-SUMIFS(CFTC_Raw!$E:$E,CFTC_Raw!$B:$B,$B6,CFTC_Raw!$A:$A,$D6))</f>
        <v>0</v>
      </c>
      <c r="J6" s="69">
        <f t="shared" si="3"/>
        <v>0</v>
      </c>
      <c r="K6" s="69">
        <f>IF($C6="",0,SUMIFS(CFTC_Raw!$F:$F,CFTC_Raw!$B:$B,$B6,CFTC_Raw!$A:$A,$C6)-SUMIFS(CFTC_Raw!$G:$G,CFTC_Raw!$B:$B,$B6,CFTC_Raw!$A:$A,$C6))</f>
        <v>0</v>
      </c>
      <c r="L6" s="69">
        <f>IF($D6="",0,SUMIFS(CFTC_Raw!$F:$F,CFTC_Raw!$B:$B,$B6,CFTC_Raw!$A:$A,$D6)-SUMIFS(CFTC_Raw!$G:$G,CFTC_Raw!$B:$B,$B6,CFTC_Raw!$A:$A,$D6))</f>
        <v>0</v>
      </c>
      <c r="M6" s="69">
        <f t="shared" si="4"/>
        <v>0</v>
      </c>
      <c r="N6" s="70">
        <f>IFERROR(VALUE(LOOKUP(2,1/(FRED_Raw!$B$2:$B$10000&lt;&gt;""),FRED_Raw!$B$2:$B$10000)),0)</f>
        <v>0</v>
      </c>
      <c r="O6" s="70">
        <f t="array" ref="O6">IFERROR(VALUE(INDEX(FRED_Raw!$B$2:$B$10000,MAX(1,MATCH(2,1/(FRED_Raw!$B$2:$B$10000&lt;&gt;""),1)-5))),0)</f>
        <v>0</v>
      </c>
      <c r="P6" s="70">
        <f t="shared" si="5"/>
        <v>0</v>
      </c>
      <c r="Q6" s="36" t="str">
        <f t="shared" si="6"/>
        <v>Neutral</v>
      </c>
      <c r="R6" s="36" t="str">
        <f t="shared" si="7"/>
        <v>Neutral</v>
      </c>
      <c r="S6" s="36" t="str">
        <f t="shared" si="8"/>
        <v>Neutral</v>
      </c>
      <c r="T6" s="36" t="str">
        <f t="shared" si="9"/>
        <v>Neutral</v>
      </c>
      <c r="U6" s="36" t="str">
        <f t="array" ref="U6">IFERROR(XLOOKUP($A6&amp;"|DXY",Live_Inputs!$A$2:$A$200&amp;"|"&amp;Live_Inputs!$B$2:$B$200,Live_Inputs!$D$2:$D$200),"Neutral")</f>
        <v>Neutral</v>
      </c>
      <c r="V6" s="36">
        <f t="shared" si="10"/>
        <v>0</v>
      </c>
      <c r="W6" s="36">
        <f t="shared" si="11"/>
        <v>0</v>
      </c>
      <c r="X6" s="36">
        <f t="shared" si="12"/>
        <v>4</v>
      </c>
      <c r="Y6" s="71">
        <f t="shared" si="13"/>
        <v>0</v>
      </c>
      <c r="Z6" s="71">
        <f t="shared" si="14"/>
        <v>0</v>
      </c>
      <c r="AA6" s="71">
        <f t="shared" si="15"/>
        <v>1</v>
      </c>
      <c r="AB6" s="36" t="str">
        <f t="shared" si="16"/>
        <v>Neutral / Mixed</v>
      </c>
      <c r="AC6" s="36" t="str">
        <f t="shared" si="17"/>
        <v>0/4 Bullish | 0/4 Bearish | 4/4 Neutral</v>
      </c>
      <c r="AD6" s="36" t="str">
        <f t="shared" si="18"/>
        <v>Mixed machine; wait for cleaner alignment.</v>
      </c>
      <c r="AE6" s="72">
        <f t="shared" si="19"/>
        <v>46182.82906</v>
      </c>
      <c r="AF6" s="36" t="str">
        <f t="shared" si="20"/>
        <v>RealYield Δ 0.00 | NonComm Δ 0 | Commercial Δ 0 | OI Δ 0</v>
      </c>
      <c r="AG6" s="36" t="str">
        <f t="shared" si="21"/>
        <v>Normal commercial change</v>
      </c>
      <c r="AH6" s="36" t="str">
        <f t="shared" si="22"/>
        <v>Normal positioning change</v>
      </c>
      <c r="AI6" s="73">
        <f t="shared" si="23"/>
        <v>0</v>
      </c>
      <c r="AJ6" s="73">
        <f t="shared" si="24"/>
        <v>0</v>
      </c>
      <c r="AK6" s="73">
        <f t="shared" si="25"/>
        <v>0</v>
      </c>
      <c r="AL6" s="73">
        <f t="shared" si="26"/>
        <v>0</v>
      </c>
      <c r="AM6" s="73">
        <f t="shared" si="27"/>
        <v>0</v>
      </c>
      <c r="AN6" s="73">
        <f t="shared" si="28"/>
        <v>0</v>
      </c>
      <c r="AO6" s="73">
        <f t="shared" si="29"/>
        <v>0</v>
      </c>
      <c r="AP6" s="73">
        <f t="shared" si="30"/>
        <v>155</v>
      </c>
      <c r="AQ6" s="74">
        <f t="shared" ref="AQ6:AS6" si="36">IFERROR(AN6/155,0)</f>
        <v>0</v>
      </c>
      <c r="AR6" s="74">
        <f t="shared" si="36"/>
        <v>0</v>
      </c>
      <c r="AS6" s="74">
        <f t="shared" si="36"/>
        <v>1</v>
      </c>
      <c r="AT6" s="41" t="str">
        <f t="shared" si="32"/>
        <v>Neutral / Mixed</v>
      </c>
      <c r="AU6" s="36" t="str">
        <f t="shared" si="33"/>
        <v>Pts → Bull 0 | Bear 0 | Neutral 155 || Commercial 0 (0) | NonComm 0 (0) | OI 0 (0) | DXY Neutral (0) | RealYield Neutral (0)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9" width="18.0"/>
    <col customWidth="1" min="10" max="10" width="24.0"/>
    <col customWidth="1" min="11" max="14" width="18.0"/>
    <col customWidth="1" min="15" max="26" width="8.63"/>
  </cols>
  <sheetData>
    <row r="1">
      <c r="A1" s="75" t="s">
        <v>812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>
      <c r="A2" s="36" t="s">
        <v>91</v>
      </c>
      <c r="B2" s="36" t="s">
        <v>813</v>
      </c>
      <c r="C2" s="36" t="s">
        <v>814</v>
      </c>
      <c r="D2" s="36" t="s">
        <v>815</v>
      </c>
      <c r="E2" s="36" t="s">
        <v>816</v>
      </c>
      <c r="F2" s="36" t="s">
        <v>817</v>
      </c>
      <c r="G2" s="36" t="s">
        <v>818</v>
      </c>
      <c r="H2" s="36" t="s">
        <v>819</v>
      </c>
      <c r="I2" s="36" t="s">
        <v>820</v>
      </c>
      <c r="J2" s="36" t="s">
        <v>821</v>
      </c>
      <c r="K2" s="36" t="s">
        <v>822</v>
      </c>
      <c r="L2" s="36" t="s">
        <v>823</v>
      </c>
      <c r="M2" s="36" t="s">
        <v>824</v>
      </c>
      <c r="N2" s="36" t="s">
        <v>825</v>
      </c>
    </row>
    <row r="3">
      <c r="A3" s="36" t="s">
        <v>826</v>
      </c>
      <c r="B3" s="36" t="s">
        <v>827</v>
      </c>
      <c r="C3" s="36">
        <v>179.0</v>
      </c>
      <c r="D3" s="36" t="s">
        <v>828</v>
      </c>
      <c r="E3" s="36">
        <v>35.8</v>
      </c>
      <c r="F3" s="36" t="s">
        <v>828</v>
      </c>
      <c r="G3" s="36">
        <v>26.3</v>
      </c>
      <c r="H3" s="36">
        <v>9.0</v>
      </c>
      <c r="I3" s="36">
        <v>15.6</v>
      </c>
      <c r="J3" s="36">
        <v>9.0</v>
      </c>
      <c r="K3" s="36">
        <v>14.5</v>
      </c>
      <c r="L3" s="36">
        <v>34.1</v>
      </c>
      <c r="M3" s="36">
        <v>44.1</v>
      </c>
      <c r="N3" s="36">
        <v>43.0</v>
      </c>
    </row>
    <row r="4">
      <c r="A4" s="36" t="s">
        <v>826</v>
      </c>
      <c r="B4" s="36" t="s">
        <v>829</v>
      </c>
      <c r="C4" s="36">
        <v>104.0</v>
      </c>
      <c r="D4" s="36" t="s">
        <v>828</v>
      </c>
      <c r="E4" s="36">
        <v>58.7</v>
      </c>
      <c r="F4" s="36" t="s">
        <v>830</v>
      </c>
      <c r="G4" s="36">
        <v>33.7</v>
      </c>
      <c r="H4" s="36">
        <v>10.0</v>
      </c>
      <c r="I4" s="36">
        <v>16.3</v>
      </c>
      <c r="J4" s="36">
        <v>9.0</v>
      </c>
      <c r="K4" s="36">
        <v>15.4</v>
      </c>
      <c r="L4" s="36">
        <v>7.7</v>
      </c>
      <c r="M4" s="36">
        <v>64.4</v>
      </c>
      <c r="N4" s="36">
        <v>12.5</v>
      </c>
    </row>
    <row r="5">
      <c r="A5" s="36" t="s">
        <v>826</v>
      </c>
      <c r="B5" s="36" t="s">
        <v>831</v>
      </c>
      <c r="C5" s="36">
        <v>75.0</v>
      </c>
      <c r="D5" s="36" t="s">
        <v>830</v>
      </c>
      <c r="E5" s="36">
        <v>40.0</v>
      </c>
      <c r="F5" s="36" t="s">
        <v>828</v>
      </c>
      <c r="G5" s="36">
        <v>54.7</v>
      </c>
      <c r="H5" s="36">
        <v>9.0</v>
      </c>
      <c r="I5" s="36">
        <v>22.7</v>
      </c>
      <c r="J5" s="36">
        <v>9.0</v>
      </c>
      <c r="K5" s="36">
        <v>13.3</v>
      </c>
      <c r="L5" s="36">
        <v>70.7</v>
      </c>
      <c r="M5" s="36">
        <v>16.0</v>
      </c>
      <c r="N5" s="36">
        <v>85.3</v>
      </c>
    </row>
    <row r="6">
      <c r="A6" s="36" t="s">
        <v>826</v>
      </c>
      <c r="B6" s="36" t="s">
        <v>832</v>
      </c>
      <c r="C6" s="36">
        <v>83.0</v>
      </c>
      <c r="D6" s="36" t="s">
        <v>828</v>
      </c>
      <c r="E6" s="36">
        <v>36.1</v>
      </c>
      <c r="F6" s="36" t="s">
        <v>828</v>
      </c>
      <c r="G6" s="36">
        <v>31.3</v>
      </c>
      <c r="H6" s="36">
        <v>12.0</v>
      </c>
      <c r="I6" s="36">
        <v>12.0</v>
      </c>
      <c r="J6" s="36">
        <v>9.0</v>
      </c>
      <c r="K6" s="36">
        <v>9.6</v>
      </c>
      <c r="L6" s="36">
        <v>37.3</v>
      </c>
      <c r="M6" s="36">
        <v>44.6</v>
      </c>
      <c r="N6" s="36">
        <v>45.8</v>
      </c>
    </row>
    <row r="7">
      <c r="A7" s="36" t="s">
        <v>833</v>
      </c>
      <c r="B7" s="36" t="s">
        <v>827</v>
      </c>
      <c r="C7" s="36">
        <v>596.0</v>
      </c>
      <c r="D7" s="36" t="s">
        <v>828</v>
      </c>
      <c r="E7" s="36">
        <v>38.1</v>
      </c>
      <c r="F7" s="36" t="s">
        <v>830</v>
      </c>
      <c r="G7" s="36">
        <v>30.4</v>
      </c>
      <c r="H7" s="36">
        <v>9.0</v>
      </c>
      <c r="I7" s="36">
        <v>35.6</v>
      </c>
      <c r="J7" s="36">
        <v>9.0</v>
      </c>
      <c r="K7" s="36">
        <v>34.4</v>
      </c>
      <c r="L7" s="36">
        <v>30.7</v>
      </c>
      <c r="M7" s="36">
        <v>47.1</v>
      </c>
      <c r="N7" s="36">
        <v>42.6</v>
      </c>
    </row>
    <row r="8">
      <c r="A8" s="36" t="s">
        <v>833</v>
      </c>
      <c r="B8" s="36" t="s">
        <v>829</v>
      </c>
      <c r="C8" s="36">
        <v>352.0</v>
      </c>
      <c r="D8" s="36" t="s">
        <v>828</v>
      </c>
      <c r="E8" s="36">
        <v>61.6</v>
      </c>
      <c r="F8" s="36" t="s">
        <v>830</v>
      </c>
      <c r="G8" s="36">
        <v>49.4</v>
      </c>
      <c r="H8" s="36">
        <v>15.0</v>
      </c>
      <c r="I8" s="36">
        <v>27.3</v>
      </c>
      <c r="J8" s="36">
        <v>9.0</v>
      </c>
      <c r="K8" s="36">
        <v>44.9</v>
      </c>
      <c r="L8" s="36">
        <v>6.8</v>
      </c>
      <c r="M8" s="36">
        <v>71.9</v>
      </c>
      <c r="N8" s="36">
        <v>9.7</v>
      </c>
    </row>
    <row r="9">
      <c r="A9" s="36" t="s">
        <v>833</v>
      </c>
      <c r="B9" s="36" t="s">
        <v>831</v>
      </c>
      <c r="C9" s="36">
        <v>244.0</v>
      </c>
      <c r="D9" s="36" t="s">
        <v>830</v>
      </c>
      <c r="E9" s="36">
        <v>38.1</v>
      </c>
      <c r="F9" s="36" t="s">
        <v>828</v>
      </c>
      <c r="G9" s="36">
        <v>53.7</v>
      </c>
      <c r="H9" s="36">
        <v>9.0</v>
      </c>
      <c r="I9" s="36">
        <v>49.6</v>
      </c>
      <c r="J9" s="36">
        <v>15.0</v>
      </c>
      <c r="K9" s="36">
        <v>22.1</v>
      </c>
      <c r="L9" s="36">
        <v>65.2</v>
      </c>
      <c r="M9" s="36">
        <v>11.5</v>
      </c>
      <c r="N9" s="36">
        <v>90.2</v>
      </c>
    </row>
    <row r="10">
      <c r="A10" s="36" t="s">
        <v>833</v>
      </c>
      <c r="B10" s="36" t="s">
        <v>832</v>
      </c>
      <c r="C10" s="36">
        <v>284.0</v>
      </c>
      <c r="D10" s="36" t="s">
        <v>828</v>
      </c>
      <c r="E10" s="36">
        <v>35.6</v>
      </c>
      <c r="F10" s="36" t="s">
        <v>830</v>
      </c>
      <c r="G10" s="36">
        <v>33.8</v>
      </c>
      <c r="H10" s="36">
        <v>9.0</v>
      </c>
      <c r="I10" s="36">
        <v>37.7</v>
      </c>
      <c r="J10" s="36">
        <v>9.0</v>
      </c>
      <c r="K10" s="36">
        <v>32.0</v>
      </c>
      <c r="L10" s="36">
        <v>37.0</v>
      </c>
      <c r="M10" s="36">
        <v>44.7</v>
      </c>
      <c r="N10" s="36">
        <v>47.5</v>
      </c>
    </row>
    <row r="11">
      <c r="A11" s="36" t="s">
        <v>834</v>
      </c>
      <c r="B11" s="36" t="s">
        <v>827</v>
      </c>
      <c r="C11" s="36">
        <v>336.0</v>
      </c>
      <c r="D11" s="36" t="s">
        <v>830</v>
      </c>
      <c r="E11" s="36">
        <v>31.5</v>
      </c>
      <c r="F11" s="36" t="s">
        <v>828</v>
      </c>
      <c r="G11" s="36">
        <v>40.2</v>
      </c>
      <c r="H11" s="36">
        <v>3.0</v>
      </c>
      <c r="I11" s="36">
        <v>14.6</v>
      </c>
      <c r="J11" s="36">
        <v>15.0</v>
      </c>
      <c r="K11" s="36">
        <v>23.5</v>
      </c>
      <c r="L11" s="36">
        <v>48.5</v>
      </c>
      <c r="M11" s="36">
        <v>27.1</v>
      </c>
      <c r="N11" s="36">
        <v>59.5</v>
      </c>
    </row>
    <row r="12">
      <c r="A12" s="36" t="s">
        <v>834</v>
      </c>
      <c r="B12" s="36" t="s">
        <v>829</v>
      </c>
      <c r="C12" s="36">
        <v>110.0</v>
      </c>
      <c r="D12" s="36" t="s">
        <v>828</v>
      </c>
      <c r="E12" s="36">
        <v>62.7</v>
      </c>
      <c r="F12" s="36" t="s">
        <v>830</v>
      </c>
      <c r="G12" s="36">
        <v>40.0</v>
      </c>
      <c r="H12" s="36">
        <v>15.0</v>
      </c>
      <c r="I12" s="36">
        <v>20.0</v>
      </c>
      <c r="J12" s="36">
        <v>9.0</v>
      </c>
      <c r="K12" s="36">
        <v>16.4</v>
      </c>
      <c r="L12" s="36">
        <v>3.6</v>
      </c>
      <c r="M12" s="36">
        <v>60.9</v>
      </c>
      <c r="N12" s="36">
        <v>6.4</v>
      </c>
    </row>
    <row r="13">
      <c r="A13" s="36" t="s">
        <v>834</v>
      </c>
      <c r="B13" s="36" t="s">
        <v>831</v>
      </c>
      <c r="C13" s="36">
        <v>226.0</v>
      </c>
      <c r="D13" s="36" t="s">
        <v>830</v>
      </c>
      <c r="E13" s="36">
        <v>46.5</v>
      </c>
      <c r="F13" s="36" t="s">
        <v>828</v>
      </c>
      <c r="G13" s="36">
        <v>57.1</v>
      </c>
      <c r="H13" s="36">
        <v>3.0</v>
      </c>
      <c r="I13" s="36">
        <v>17.7</v>
      </c>
      <c r="J13" s="36">
        <v>15.0</v>
      </c>
      <c r="K13" s="36">
        <v>30.1</v>
      </c>
      <c r="L13" s="36">
        <v>70.4</v>
      </c>
      <c r="M13" s="36">
        <v>10.6</v>
      </c>
      <c r="N13" s="36">
        <v>85.4</v>
      </c>
    </row>
    <row r="14">
      <c r="A14" s="36" t="s">
        <v>834</v>
      </c>
      <c r="B14" s="36" t="s">
        <v>832</v>
      </c>
      <c r="C14" s="36">
        <v>160.0</v>
      </c>
      <c r="D14" s="36" t="s">
        <v>830</v>
      </c>
      <c r="E14" s="36">
        <v>31.9</v>
      </c>
      <c r="F14" s="36" t="s">
        <v>828</v>
      </c>
      <c r="G14" s="36">
        <v>34.4</v>
      </c>
      <c r="H14" s="36">
        <v>3.0</v>
      </c>
      <c r="I14" s="36">
        <v>14.4</v>
      </c>
      <c r="J14" s="36">
        <v>15.0</v>
      </c>
      <c r="K14" s="36">
        <v>26.2</v>
      </c>
      <c r="L14" s="36">
        <v>43.8</v>
      </c>
      <c r="M14" s="36">
        <v>36.9</v>
      </c>
      <c r="N14" s="36">
        <v>51.2</v>
      </c>
    </row>
    <row r="15">
      <c r="A15" s="36" t="s">
        <v>835</v>
      </c>
      <c r="B15" s="36" t="s">
        <v>827</v>
      </c>
      <c r="C15" s="36">
        <v>596.0</v>
      </c>
      <c r="D15" s="36" t="s">
        <v>828</v>
      </c>
      <c r="E15" s="36">
        <v>33.9</v>
      </c>
      <c r="F15" s="36" t="s">
        <v>830</v>
      </c>
      <c r="G15" s="36">
        <v>30.0</v>
      </c>
      <c r="H15" s="36">
        <v>9.0</v>
      </c>
      <c r="I15" s="36">
        <v>38.1</v>
      </c>
      <c r="J15" s="36">
        <v>9.0</v>
      </c>
      <c r="K15" s="36">
        <v>40.3</v>
      </c>
      <c r="L15" s="36">
        <v>36.1</v>
      </c>
      <c r="M15" s="36">
        <v>46.1</v>
      </c>
      <c r="N15" s="36">
        <v>45.6</v>
      </c>
    </row>
    <row r="16">
      <c r="A16" s="36" t="s">
        <v>835</v>
      </c>
      <c r="B16" s="36" t="s">
        <v>829</v>
      </c>
      <c r="C16" s="36">
        <v>345.0</v>
      </c>
      <c r="D16" s="36" t="s">
        <v>828</v>
      </c>
      <c r="E16" s="36">
        <v>56.2</v>
      </c>
      <c r="F16" s="36" t="s">
        <v>830</v>
      </c>
      <c r="G16" s="36">
        <v>49.6</v>
      </c>
      <c r="H16" s="36">
        <v>9.0</v>
      </c>
      <c r="I16" s="36">
        <v>27.2</v>
      </c>
      <c r="J16" s="36">
        <v>9.0</v>
      </c>
      <c r="K16" s="36">
        <v>51.9</v>
      </c>
      <c r="L16" s="36">
        <v>10.7</v>
      </c>
      <c r="M16" s="36">
        <v>70.7</v>
      </c>
      <c r="N16" s="36">
        <v>12.8</v>
      </c>
    </row>
    <row r="17">
      <c r="A17" s="36" t="s">
        <v>835</v>
      </c>
      <c r="B17" s="36" t="s">
        <v>831</v>
      </c>
      <c r="C17" s="36">
        <v>251.0</v>
      </c>
      <c r="D17" s="36" t="s">
        <v>830</v>
      </c>
      <c r="E17" s="36">
        <v>43.0</v>
      </c>
      <c r="F17" s="36" t="s">
        <v>828</v>
      </c>
      <c r="G17" s="36">
        <v>51.4</v>
      </c>
      <c r="H17" s="36">
        <v>9.0</v>
      </c>
      <c r="I17" s="36">
        <v>53.0</v>
      </c>
      <c r="J17" s="36">
        <v>9.0</v>
      </c>
      <c r="K17" s="36">
        <v>24.3</v>
      </c>
      <c r="L17" s="36">
        <v>70.9</v>
      </c>
      <c r="M17" s="36">
        <v>12.4</v>
      </c>
      <c r="N17" s="36">
        <v>90.8</v>
      </c>
    </row>
    <row r="18">
      <c r="A18" s="36" t="s">
        <v>835</v>
      </c>
      <c r="B18" s="36" t="s">
        <v>832</v>
      </c>
      <c r="C18" s="36">
        <v>282.0</v>
      </c>
      <c r="D18" s="36" t="s">
        <v>828</v>
      </c>
      <c r="E18" s="36">
        <v>34.0</v>
      </c>
      <c r="F18" s="36" t="s">
        <v>830</v>
      </c>
      <c r="G18" s="36">
        <v>33.3</v>
      </c>
      <c r="H18" s="36">
        <v>9.0</v>
      </c>
      <c r="I18" s="36">
        <v>36.5</v>
      </c>
      <c r="J18" s="36">
        <v>9.0</v>
      </c>
      <c r="K18" s="36">
        <v>40.1</v>
      </c>
      <c r="L18" s="36">
        <v>38.3</v>
      </c>
      <c r="M18" s="36">
        <v>44.0</v>
      </c>
      <c r="N18" s="36">
        <v>48.2</v>
      </c>
    </row>
    <row r="19">
      <c r="A19" s="36" t="s">
        <v>836</v>
      </c>
      <c r="B19" s="36" t="s">
        <v>827</v>
      </c>
      <c r="C19" s="36">
        <v>179.0</v>
      </c>
      <c r="D19" s="36" t="s">
        <v>828</v>
      </c>
      <c r="E19" s="36">
        <v>33.5</v>
      </c>
      <c r="F19" s="36" t="s">
        <v>828</v>
      </c>
      <c r="G19" s="36">
        <v>20.1</v>
      </c>
      <c r="H19" s="36">
        <v>9.0</v>
      </c>
      <c r="I19" s="36">
        <v>15.6</v>
      </c>
      <c r="J19" s="36">
        <v>18.0</v>
      </c>
      <c r="K19" s="36">
        <v>14.0</v>
      </c>
      <c r="L19" s="36">
        <v>36.3</v>
      </c>
      <c r="M19" s="36">
        <v>50.3</v>
      </c>
      <c r="N19" s="36">
        <v>46.4</v>
      </c>
    </row>
    <row r="20">
      <c r="A20" s="36" t="s">
        <v>836</v>
      </c>
      <c r="B20" s="36" t="s">
        <v>829</v>
      </c>
      <c r="C20" s="36">
        <v>94.0</v>
      </c>
      <c r="D20" s="36" t="s">
        <v>828</v>
      </c>
      <c r="E20" s="36">
        <v>60.6</v>
      </c>
      <c r="F20" s="36" t="s">
        <v>837</v>
      </c>
      <c r="G20" s="36">
        <v>35.1</v>
      </c>
      <c r="H20" s="36">
        <v>9.0</v>
      </c>
      <c r="I20" s="36">
        <v>17.0</v>
      </c>
      <c r="J20" s="36">
        <v>18.0</v>
      </c>
      <c r="K20" s="36">
        <v>22.3</v>
      </c>
      <c r="L20" s="36">
        <v>12.8</v>
      </c>
      <c r="M20" s="36">
        <v>81.9</v>
      </c>
      <c r="N20" s="36">
        <v>6.4</v>
      </c>
    </row>
    <row r="21" ht="15.75" customHeight="1">
      <c r="A21" s="36" t="s">
        <v>836</v>
      </c>
      <c r="B21" s="36" t="s">
        <v>831</v>
      </c>
      <c r="C21" s="36">
        <v>85.0</v>
      </c>
      <c r="D21" s="36" t="s">
        <v>837</v>
      </c>
      <c r="E21" s="36">
        <v>27.1</v>
      </c>
      <c r="F21" s="36" t="s">
        <v>828</v>
      </c>
      <c r="G21" s="36">
        <v>42.4</v>
      </c>
      <c r="H21" s="36">
        <v>9.0</v>
      </c>
      <c r="I21" s="36">
        <v>14.1</v>
      </c>
      <c r="J21" s="36">
        <v>8.0</v>
      </c>
      <c r="K21" s="36">
        <v>15.3</v>
      </c>
      <c r="L21" s="36">
        <v>62.4</v>
      </c>
      <c r="M21" s="36">
        <v>15.3</v>
      </c>
      <c r="N21" s="36">
        <v>90.6</v>
      </c>
    </row>
    <row r="22" ht="15.75" customHeight="1">
      <c r="A22" s="36" t="s">
        <v>836</v>
      </c>
      <c r="B22" s="36" t="s">
        <v>832</v>
      </c>
      <c r="C22" s="36">
        <v>84.0</v>
      </c>
      <c r="D22" s="36" t="s">
        <v>828</v>
      </c>
      <c r="E22" s="36">
        <v>45.2</v>
      </c>
      <c r="F22" s="36" t="s">
        <v>837</v>
      </c>
      <c r="G22" s="36">
        <v>25.0</v>
      </c>
      <c r="H22" s="36">
        <v>9.0</v>
      </c>
      <c r="I22" s="36">
        <v>11.9</v>
      </c>
      <c r="J22" s="36">
        <v>18.0</v>
      </c>
      <c r="K22" s="36">
        <v>14.3</v>
      </c>
      <c r="L22" s="36">
        <v>31.0</v>
      </c>
      <c r="M22" s="36">
        <v>58.3</v>
      </c>
      <c r="N22" s="36">
        <v>39.3</v>
      </c>
    </row>
    <row r="23" ht="15.75" customHeight="1">
      <c r="A23" s="36" t="s">
        <v>838</v>
      </c>
      <c r="B23" s="36" t="s">
        <v>827</v>
      </c>
      <c r="C23" s="36">
        <v>179.0</v>
      </c>
      <c r="D23" s="36" t="s">
        <v>828</v>
      </c>
      <c r="E23" s="36">
        <v>35.8</v>
      </c>
      <c r="F23" s="36" t="s">
        <v>837</v>
      </c>
      <c r="G23" s="36">
        <v>20.7</v>
      </c>
      <c r="H23" s="36">
        <v>9.0</v>
      </c>
      <c r="I23" s="36">
        <v>15.1</v>
      </c>
      <c r="J23" s="36">
        <v>18.0</v>
      </c>
      <c r="K23" s="36">
        <v>18.4</v>
      </c>
      <c r="L23" s="36">
        <v>35.8</v>
      </c>
      <c r="M23" s="36">
        <v>52.5</v>
      </c>
      <c r="N23" s="36">
        <v>44.7</v>
      </c>
    </row>
    <row r="24" ht="15.75" customHeight="1">
      <c r="A24" s="36" t="s">
        <v>838</v>
      </c>
      <c r="B24" s="36" t="s">
        <v>829</v>
      </c>
      <c r="C24" s="36">
        <v>97.0</v>
      </c>
      <c r="D24" s="36" t="s">
        <v>828</v>
      </c>
      <c r="E24" s="36">
        <v>62.9</v>
      </c>
      <c r="F24" s="36" t="s">
        <v>837</v>
      </c>
      <c r="G24" s="36">
        <v>37.1</v>
      </c>
      <c r="H24" s="36">
        <v>9.0</v>
      </c>
      <c r="I24" s="36">
        <v>15.5</v>
      </c>
      <c r="J24" s="36">
        <v>18.0</v>
      </c>
      <c r="K24" s="36">
        <v>26.8</v>
      </c>
      <c r="L24" s="36">
        <v>10.3</v>
      </c>
      <c r="M24" s="36">
        <v>80.4</v>
      </c>
      <c r="N24" s="36">
        <v>7.2</v>
      </c>
    </row>
    <row r="25" ht="15.75" customHeight="1">
      <c r="A25" s="36" t="s">
        <v>838</v>
      </c>
      <c r="B25" s="36" t="s">
        <v>831</v>
      </c>
      <c r="C25" s="36">
        <v>82.0</v>
      </c>
      <c r="D25" s="36" t="s">
        <v>830</v>
      </c>
      <c r="E25" s="36">
        <v>29.3</v>
      </c>
      <c r="F25" s="36" t="s">
        <v>828</v>
      </c>
      <c r="G25" s="36">
        <v>39.0</v>
      </c>
      <c r="H25" s="36">
        <v>9.0</v>
      </c>
      <c r="I25" s="36">
        <v>14.6</v>
      </c>
      <c r="J25" s="36">
        <v>9.0</v>
      </c>
      <c r="K25" s="36">
        <v>14.6</v>
      </c>
      <c r="L25" s="36">
        <v>65.9</v>
      </c>
      <c r="M25" s="36">
        <v>19.5</v>
      </c>
      <c r="N25" s="36">
        <v>89.0</v>
      </c>
    </row>
    <row r="26" ht="15.75" customHeight="1">
      <c r="A26" s="36" t="s">
        <v>838</v>
      </c>
      <c r="B26" s="36" t="s">
        <v>832</v>
      </c>
      <c r="C26" s="36">
        <v>85.0</v>
      </c>
      <c r="D26" s="36" t="s">
        <v>828</v>
      </c>
      <c r="E26" s="36">
        <v>47.1</v>
      </c>
      <c r="F26" s="36" t="s">
        <v>837</v>
      </c>
      <c r="G26" s="36">
        <v>29.4</v>
      </c>
      <c r="H26" s="36">
        <v>9.0</v>
      </c>
      <c r="I26" s="36">
        <v>10.6</v>
      </c>
      <c r="J26" s="36">
        <v>18.0</v>
      </c>
      <c r="K26" s="36">
        <v>24.7</v>
      </c>
      <c r="L26" s="36">
        <v>31.8</v>
      </c>
      <c r="M26" s="36">
        <v>62.4</v>
      </c>
      <c r="N26" s="36">
        <v>40.0</v>
      </c>
    </row>
    <row r="27" ht="15.75" customHeight="1">
      <c r="A27" s="36" t="s">
        <v>839</v>
      </c>
      <c r="B27" s="36" t="s">
        <v>827</v>
      </c>
      <c r="C27" s="36">
        <v>179.0</v>
      </c>
      <c r="D27" s="36" t="s">
        <v>828</v>
      </c>
      <c r="E27" s="36">
        <v>33.0</v>
      </c>
      <c r="F27" s="36" t="s">
        <v>830</v>
      </c>
      <c r="G27" s="36">
        <v>24.6</v>
      </c>
      <c r="H27" s="36">
        <v>18.0</v>
      </c>
      <c r="I27" s="36">
        <v>11.7</v>
      </c>
      <c r="J27" s="36">
        <v>18.0</v>
      </c>
      <c r="K27" s="36">
        <v>15.6</v>
      </c>
      <c r="L27" s="36">
        <v>35.8</v>
      </c>
      <c r="M27" s="36">
        <v>59.2</v>
      </c>
      <c r="N27" s="36">
        <v>40.2</v>
      </c>
    </row>
    <row r="28" ht="15.75" customHeight="1">
      <c r="A28" s="36" t="s">
        <v>839</v>
      </c>
      <c r="B28" s="36" t="s">
        <v>829</v>
      </c>
      <c r="C28" s="36">
        <v>108.0</v>
      </c>
      <c r="D28" s="36" t="s">
        <v>828</v>
      </c>
      <c r="E28" s="36">
        <v>50.9</v>
      </c>
      <c r="F28" s="36" t="s">
        <v>837</v>
      </c>
      <c r="G28" s="36">
        <v>37.0</v>
      </c>
      <c r="H28" s="36">
        <v>9.0</v>
      </c>
      <c r="I28" s="36">
        <v>12.0</v>
      </c>
      <c r="J28" s="36">
        <v>18.0</v>
      </c>
      <c r="K28" s="36">
        <v>24.1</v>
      </c>
      <c r="L28" s="36">
        <v>9.3</v>
      </c>
      <c r="M28" s="36">
        <v>84.3</v>
      </c>
      <c r="N28" s="36">
        <v>7.4</v>
      </c>
    </row>
    <row r="29" ht="15.75" customHeight="1">
      <c r="A29" s="36" t="s">
        <v>839</v>
      </c>
      <c r="B29" s="36" t="s">
        <v>831</v>
      </c>
      <c r="C29" s="36">
        <v>71.0</v>
      </c>
      <c r="D29" s="36" t="s">
        <v>830</v>
      </c>
      <c r="E29" s="36">
        <v>32.4</v>
      </c>
      <c r="F29" s="36" t="s">
        <v>828</v>
      </c>
      <c r="G29" s="36">
        <v>35.2</v>
      </c>
      <c r="H29" s="36">
        <v>18.0</v>
      </c>
      <c r="I29" s="36">
        <v>19.7</v>
      </c>
      <c r="J29" s="36">
        <v>8.0</v>
      </c>
      <c r="K29" s="36">
        <v>12.7</v>
      </c>
      <c r="L29" s="36">
        <v>76.1</v>
      </c>
      <c r="M29" s="36">
        <v>21.1</v>
      </c>
      <c r="N29" s="36">
        <v>90.1</v>
      </c>
    </row>
    <row r="30" ht="15.75" customHeight="1">
      <c r="A30" s="36" t="s">
        <v>839</v>
      </c>
      <c r="B30" s="36" t="s">
        <v>832</v>
      </c>
      <c r="C30" s="36">
        <v>85.0</v>
      </c>
      <c r="D30" s="36" t="s">
        <v>828</v>
      </c>
      <c r="E30" s="36">
        <v>40.0</v>
      </c>
      <c r="F30" s="36" t="s">
        <v>830</v>
      </c>
      <c r="G30" s="36">
        <v>28.2</v>
      </c>
      <c r="H30" s="36">
        <v>18.0</v>
      </c>
      <c r="I30" s="36">
        <v>15.3</v>
      </c>
      <c r="J30" s="36">
        <v>18.0</v>
      </c>
      <c r="K30" s="36">
        <v>16.5</v>
      </c>
      <c r="L30" s="36">
        <v>34.1</v>
      </c>
      <c r="M30" s="36">
        <v>68.2</v>
      </c>
      <c r="N30" s="36">
        <v>36.5</v>
      </c>
    </row>
    <row r="31" ht="15.75" customHeight="1">
      <c r="A31" s="36" t="s">
        <v>840</v>
      </c>
      <c r="B31" s="36" t="s">
        <v>827</v>
      </c>
      <c r="C31" s="36">
        <v>596.0</v>
      </c>
      <c r="D31" s="36" t="s">
        <v>828</v>
      </c>
      <c r="E31" s="36">
        <v>37.1</v>
      </c>
      <c r="F31" s="36" t="s">
        <v>830</v>
      </c>
      <c r="G31" s="36">
        <v>33.6</v>
      </c>
      <c r="H31" s="36">
        <v>9.0</v>
      </c>
      <c r="I31" s="36">
        <v>39.3</v>
      </c>
      <c r="J31" s="36">
        <v>9.0</v>
      </c>
      <c r="K31" s="36">
        <v>39.9</v>
      </c>
      <c r="L31" s="36">
        <v>33.1</v>
      </c>
      <c r="M31" s="36">
        <v>50.7</v>
      </c>
      <c r="N31" s="36">
        <v>42.6</v>
      </c>
    </row>
    <row r="32" ht="15.75" customHeight="1">
      <c r="A32" s="36" t="s">
        <v>840</v>
      </c>
      <c r="B32" s="36" t="s">
        <v>829</v>
      </c>
      <c r="C32" s="36">
        <v>354.0</v>
      </c>
      <c r="D32" s="36" t="s">
        <v>828</v>
      </c>
      <c r="E32" s="36">
        <v>59.6</v>
      </c>
      <c r="F32" s="36" t="s">
        <v>830</v>
      </c>
      <c r="G32" s="36">
        <v>54.0</v>
      </c>
      <c r="H32" s="36">
        <v>9.0</v>
      </c>
      <c r="I32" s="36">
        <v>31.1</v>
      </c>
      <c r="J32" s="36">
        <v>9.0</v>
      </c>
      <c r="K32" s="36">
        <v>50.3</v>
      </c>
      <c r="L32" s="36">
        <v>9.0</v>
      </c>
      <c r="M32" s="36">
        <v>76.3</v>
      </c>
      <c r="N32" s="36">
        <v>10.5</v>
      </c>
    </row>
    <row r="33" ht="15.75" customHeight="1">
      <c r="A33" s="36" t="s">
        <v>840</v>
      </c>
      <c r="B33" s="36" t="s">
        <v>831</v>
      </c>
      <c r="C33" s="36">
        <v>242.0</v>
      </c>
      <c r="D33" s="36" t="s">
        <v>830</v>
      </c>
      <c r="E33" s="36">
        <v>40.5</v>
      </c>
      <c r="F33" s="36" t="s">
        <v>828</v>
      </c>
      <c r="G33" s="36">
        <v>55.0</v>
      </c>
      <c r="H33" s="36">
        <v>9.0</v>
      </c>
      <c r="I33" s="36">
        <v>51.2</v>
      </c>
      <c r="J33" s="36">
        <v>9.0</v>
      </c>
      <c r="K33" s="36">
        <v>24.8</v>
      </c>
      <c r="L33" s="36">
        <v>68.2</v>
      </c>
      <c r="M33" s="36">
        <v>13.2</v>
      </c>
      <c r="N33" s="36">
        <v>89.7</v>
      </c>
    </row>
    <row r="34" ht="15.75" customHeight="1">
      <c r="A34" s="36" t="s">
        <v>840</v>
      </c>
      <c r="B34" s="36" t="s">
        <v>832</v>
      </c>
      <c r="C34" s="36">
        <v>291.0</v>
      </c>
      <c r="D34" s="36" t="s">
        <v>828</v>
      </c>
      <c r="E34" s="36">
        <v>36.8</v>
      </c>
      <c r="F34" s="36" t="s">
        <v>830</v>
      </c>
      <c r="G34" s="36">
        <v>35.4</v>
      </c>
      <c r="H34" s="36">
        <v>9.0</v>
      </c>
      <c r="I34" s="36">
        <v>40.2</v>
      </c>
      <c r="J34" s="36">
        <v>9.0</v>
      </c>
      <c r="K34" s="36">
        <v>38.8</v>
      </c>
      <c r="L34" s="36">
        <v>36.4</v>
      </c>
      <c r="M34" s="36">
        <v>47.8</v>
      </c>
      <c r="N34" s="36">
        <v>46.4</v>
      </c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26" width="8.63"/>
  </cols>
  <sheetData>
    <row r="1">
      <c r="A1" s="75" t="s">
        <v>841</v>
      </c>
      <c r="B1" s="75"/>
      <c r="C1" s="75"/>
      <c r="D1" s="75"/>
    </row>
    <row r="2">
      <c r="A2" s="36" t="s">
        <v>842</v>
      </c>
      <c r="B2" s="36" t="s">
        <v>843</v>
      </c>
      <c r="C2" s="36" t="s">
        <v>844</v>
      </c>
      <c r="D2" s="36" t="s">
        <v>845</v>
      </c>
    </row>
    <row r="3">
      <c r="A3" s="36" t="s">
        <v>846</v>
      </c>
      <c r="B3" s="36" t="s">
        <v>847</v>
      </c>
      <c r="C3" s="36" t="s">
        <v>827</v>
      </c>
      <c r="D3" s="36" t="s">
        <v>848</v>
      </c>
    </row>
    <row r="4">
      <c r="A4" s="36" t="s">
        <v>849</v>
      </c>
      <c r="B4" s="36" t="s">
        <v>850</v>
      </c>
      <c r="C4" s="36" t="s">
        <v>851</v>
      </c>
      <c r="D4" s="36" t="s">
        <v>852</v>
      </c>
    </row>
    <row r="5">
      <c r="A5" s="36" t="s">
        <v>849</v>
      </c>
      <c r="B5" s="36" t="s">
        <v>853</v>
      </c>
      <c r="C5" s="36" t="s">
        <v>851</v>
      </c>
      <c r="D5" s="36" t="s">
        <v>854</v>
      </c>
    </row>
    <row r="6">
      <c r="A6" s="36" t="s">
        <v>855</v>
      </c>
      <c r="B6" s="36" t="s">
        <v>856</v>
      </c>
      <c r="C6" s="36" t="s">
        <v>857</v>
      </c>
      <c r="D6" s="36" t="s">
        <v>858</v>
      </c>
    </row>
    <row r="7">
      <c r="A7" s="36" t="s">
        <v>855</v>
      </c>
      <c r="B7" s="36" t="s">
        <v>859</v>
      </c>
      <c r="C7" s="36" t="s">
        <v>860</v>
      </c>
      <c r="D7" s="36" t="s">
        <v>861</v>
      </c>
    </row>
    <row r="8">
      <c r="A8" s="36" t="s">
        <v>862</v>
      </c>
      <c r="B8" s="36" t="s">
        <v>863</v>
      </c>
      <c r="C8" s="36" t="s">
        <v>864</v>
      </c>
      <c r="D8" s="36" t="s">
        <v>865</v>
      </c>
    </row>
    <row r="9">
      <c r="A9" s="36" t="s">
        <v>866</v>
      </c>
      <c r="B9" s="36" t="s">
        <v>867</v>
      </c>
      <c r="C9" s="36" t="s">
        <v>868</v>
      </c>
      <c r="D9" s="36" t="s">
        <v>869</v>
      </c>
    </row>
    <row r="10">
      <c r="A10" s="36"/>
      <c r="B10" s="36"/>
      <c r="C10" s="36"/>
      <c r="D10" s="36"/>
    </row>
    <row r="11">
      <c r="A11" s="36"/>
      <c r="B11" s="36"/>
      <c r="C11" s="36"/>
      <c r="D11" s="36"/>
    </row>
    <row r="12">
      <c r="A12" s="36"/>
      <c r="B12" s="36"/>
      <c r="C12" s="36"/>
      <c r="D12" s="36"/>
    </row>
    <row r="13">
      <c r="A13" s="36"/>
      <c r="B13" s="36"/>
      <c r="C13" s="36"/>
      <c r="D13" s="36"/>
    </row>
    <row r="14">
      <c r="A14" s="36"/>
      <c r="B14" s="36"/>
      <c r="C14" s="36"/>
      <c r="D14" s="36"/>
    </row>
    <row r="15">
      <c r="A15" s="36"/>
      <c r="B15" s="36"/>
      <c r="C15" s="36"/>
      <c r="D15" s="36"/>
    </row>
    <row r="16">
      <c r="A16" s="36"/>
      <c r="B16" s="36"/>
      <c r="C16" s="36"/>
      <c r="D16" s="36"/>
    </row>
    <row r="17">
      <c r="A17" s="36"/>
      <c r="B17" s="36"/>
      <c r="C17" s="36"/>
      <c r="D17" s="36"/>
    </row>
    <row r="18">
      <c r="A18" s="36"/>
      <c r="B18" s="36"/>
      <c r="C18" s="36"/>
      <c r="D18" s="36"/>
    </row>
    <row r="19">
      <c r="A19" s="36"/>
      <c r="B19" s="36"/>
      <c r="C19" s="36"/>
      <c r="D19" s="36"/>
    </row>
    <row r="20">
      <c r="A20" s="36"/>
      <c r="B20" s="36"/>
      <c r="C20" s="36"/>
      <c r="D20" s="36"/>
    </row>
    <row r="21" ht="15.75" customHeight="1">
      <c r="A21" s="36"/>
      <c r="B21" s="36"/>
      <c r="C21" s="36"/>
      <c r="D21" s="36"/>
    </row>
    <row r="22" ht="15.75" customHeight="1">
      <c r="A22" s="36"/>
      <c r="B22" s="36"/>
      <c r="C22" s="36"/>
      <c r="D22" s="36"/>
    </row>
    <row r="23" ht="15.75" customHeight="1">
      <c r="A23" s="36"/>
      <c r="B23" s="36"/>
      <c r="C23" s="36"/>
      <c r="D23" s="36"/>
    </row>
    <row r="24" ht="15.75" customHeight="1">
      <c r="A24" s="36"/>
      <c r="B24" s="36"/>
      <c r="C24" s="36"/>
      <c r="D24" s="36"/>
    </row>
    <row r="25" ht="15.75" customHeight="1">
      <c r="A25" s="36"/>
      <c r="B25" s="36"/>
      <c r="C25" s="36"/>
      <c r="D25" s="36"/>
    </row>
    <row r="26" ht="15.75" customHeight="1">
      <c r="A26" s="36"/>
      <c r="B26" s="36"/>
      <c r="C26" s="36"/>
      <c r="D26" s="36"/>
    </row>
    <row r="27" ht="15.75" customHeight="1">
      <c r="A27" s="36"/>
      <c r="B27" s="36"/>
      <c r="C27" s="36"/>
      <c r="D27" s="36"/>
    </row>
    <row r="28" ht="15.75" customHeight="1">
      <c r="A28" s="36"/>
      <c r="B28" s="36"/>
      <c r="C28" s="36"/>
      <c r="D28" s="36"/>
    </row>
    <row r="29" ht="15.75" customHeight="1">
      <c r="A29" s="36"/>
      <c r="B29" s="36"/>
      <c r="C29" s="36"/>
      <c r="D29" s="36"/>
    </row>
    <row r="30" ht="15.75" customHeight="1">
      <c r="A30" s="36"/>
      <c r="B30" s="36"/>
      <c r="C30" s="36"/>
      <c r="D30" s="36"/>
    </row>
    <row r="31" ht="15.75" customHeight="1">
      <c r="A31" s="36"/>
      <c r="B31" s="36"/>
      <c r="C31" s="36"/>
      <c r="D31" s="36"/>
    </row>
    <row r="32" ht="15.75" customHeight="1">
      <c r="A32" s="36"/>
      <c r="B32" s="36"/>
      <c r="C32" s="36"/>
      <c r="D32" s="36"/>
    </row>
    <row r="33" ht="15.75" customHeight="1">
      <c r="A33" s="36"/>
      <c r="B33" s="36"/>
      <c r="C33" s="36"/>
      <c r="D33" s="36"/>
    </row>
    <row r="34" ht="15.75" customHeight="1">
      <c r="A34" s="36"/>
      <c r="B34" s="36"/>
      <c r="C34" s="36"/>
      <c r="D34" s="36"/>
    </row>
    <row r="35" ht="15.75" customHeight="1">
      <c r="A35" s="36"/>
      <c r="B35" s="36"/>
      <c r="C35" s="36"/>
      <c r="D35" s="36"/>
    </row>
    <row r="36" ht="15.75" customHeight="1">
      <c r="A36" s="36"/>
      <c r="B36" s="36"/>
      <c r="C36" s="36"/>
      <c r="D36" s="36"/>
    </row>
    <row r="37" ht="15.75" customHeight="1">
      <c r="A37" s="36"/>
      <c r="B37" s="36"/>
      <c r="C37" s="36"/>
      <c r="D37" s="36"/>
    </row>
    <row r="38" ht="15.75" customHeight="1">
      <c r="A38" s="36"/>
      <c r="B38" s="36"/>
      <c r="C38" s="36"/>
      <c r="D38" s="36"/>
    </row>
    <row r="39" ht="15.75" customHeight="1">
      <c r="A39" s="36"/>
      <c r="B39" s="36"/>
      <c r="C39" s="36"/>
      <c r="D39" s="36"/>
    </row>
    <row r="40" ht="15.75" customHeight="1">
      <c r="A40" s="36"/>
      <c r="B40" s="36"/>
      <c r="C40" s="36"/>
      <c r="D40" s="36"/>
    </row>
    <row r="41" ht="15.75" customHeight="1">
      <c r="A41" s="36"/>
      <c r="B41" s="36"/>
      <c r="C41" s="36"/>
      <c r="D41" s="36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26" width="8.63"/>
  </cols>
  <sheetData>
    <row r="1">
      <c r="A1" s="75" t="s">
        <v>870</v>
      </c>
      <c r="B1" s="75"/>
      <c r="C1" s="75"/>
      <c r="D1" s="75"/>
      <c r="E1" s="75"/>
      <c r="F1" s="75"/>
      <c r="G1" s="75"/>
    </row>
    <row r="2">
      <c r="A2" s="36" t="s">
        <v>91</v>
      </c>
      <c r="B2" s="36" t="s">
        <v>871</v>
      </c>
      <c r="C2" s="36" t="s">
        <v>872</v>
      </c>
      <c r="D2" s="36" t="s">
        <v>873</v>
      </c>
      <c r="E2" s="36" t="s">
        <v>814</v>
      </c>
      <c r="F2" s="36" t="s">
        <v>874</v>
      </c>
      <c r="G2" s="36" t="s">
        <v>875</v>
      </c>
    </row>
    <row r="3">
      <c r="A3" s="36" t="s">
        <v>826</v>
      </c>
      <c r="B3" s="36">
        <v>20554.0</v>
      </c>
      <c r="C3" s="36" t="s">
        <v>876</v>
      </c>
      <c r="D3" s="36" t="s">
        <v>877</v>
      </c>
      <c r="E3" s="36">
        <v>179.0</v>
      </c>
      <c r="F3" s="36">
        <v>2.58</v>
      </c>
      <c r="G3" s="36">
        <v>2.76</v>
      </c>
    </row>
    <row r="4">
      <c r="A4" s="36" t="s">
        <v>833</v>
      </c>
      <c r="B4" s="36">
        <v>20052.0</v>
      </c>
      <c r="C4" s="36" t="s">
        <v>878</v>
      </c>
      <c r="D4" s="36" t="s">
        <v>879</v>
      </c>
      <c r="E4" s="36">
        <v>596.0</v>
      </c>
      <c r="F4" s="36">
        <v>2.35</v>
      </c>
      <c r="G4" s="36">
        <v>2.87</v>
      </c>
    </row>
    <row r="5">
      <c r="A5" s="36" t="s">
        <v>834</v>
      </c>
      <c r="B5" s="36">
        <v>21805.0</v>
      </c>
      <c r="C5" s="36" t="s">
        <v>880</v>
      </c>
      <c r="D5" s="36" t="s">
        <v>879</v>
      </c>
      <c r="E5" s="36">
        <v>336.0</v>
      </c>
      <c r="F5" s="36">
        <v>20.18</v>
      </c>
      <c r="G5" s="36">
        <v>25.08</v>
      </c>
    </row>
    <row r="6">
      <c r="A6" s="36" t="s">
        <v>835</v>
      </c>
      <c r="B6" s="36">
        <v>20054.0</v>
      </c>
      <c r="C6" s="36" t="s">
        <v>878</v>
      </c>
      <c r="D6" s="36" t="s">
        <v>879</v>
      </c>
      <c r="E6" s="36">
        <v>596.0</v>
      </c>
      <c r="F6" s="36">
        <v>2.38</v>
      </c>
      <c r="G6" s="36">
        <v>2.8</v>
      </c>
    </row>
    <row r="7">
      <c r="A7" s="36" t="s">
        <v>836</v>
      </c>
      <c r="B7" s="36">
        <v>20263.0</v>
      </c>
      <c r="C7" s="36" t="s">
        <v>876</v>
      </c>
      <c r="D7" s="36" t="s">
        <v>877</v>
      </c>
      <c r="E7" s="36">
        <v>179.0</v>
      </c>
      <c r="F7" s="36">
        <v>6.21</v>
      </c>
      <c r="G7" s="36">
        <v>7.71</v>
      </c>
    </row>
    <row r="8">
      <c r="A8" s="36" t="s">
        <v>838</v>
      </c>
      <c r="B8" s="36">
        <v>20267.0</v>
      </c>
      <c r="C8" s="36" t="s">
        <v>876</v>
      </c>
      <c r="D8" s="36" t="s">
        <v>877</v>
      </c>
      <c r="E8" s="36">
        <v>179.0</v>
      </c>
      <c r="F8" s="36">
        <v>5.99</v>
      </c>
      <c r="G8" s="36">
        <v>7.56</v>
      </c>
    </row>
    <row r="9">
      <c r="A9" s="36" t="s">
        <v>839</v>
      </c>
      <c r="B9" s="36">
        <v>20275.0</v>
      </c>
      <c r="C9" s="36" t="s">
        <v>876</v>
      </c>
      <c r="D9" s="36" t="s">
        <v>877</v>
      </c>
      <c r="E9" s="36">
        <v>179.0</v>
      </c>
      <c r="F9" s="36">
        <v>3.18</v>
      </c>
      <c r="G9" s="36">
        <v>3.79</v>
      </c>
    </row>
    <row r="10">
      <c r="A10" s="36" t="s">
        <v>840</v>
      </c>
      <c r="B10" s="36">
        <v>20044.0</v>
      </c>
      <c r="C10" s="36" t="s">
        <v>878</v>
      </c>
      <c r="D10" s="36" t="s">
        <v>879</v>
      </c>
      <c r="E10" s="36">
        <v>596.0</v>
      </c>
      <c r="F10" s="36">
        <v>3.34</v>
      </c>
      <c r="G10" s="36">
        <v>3.77</v>
      </c>
    </row>
    <row r="11">
      <c r="A11" s="36"/>
      <c r="B11" s="36"/>
      <c r="C11" s="36"/>
      <c r="D11" s="36"/>
      <c r="E11" s="36"/>
      <c r="F11" s="36"/>
      <c r="G11" s="36"/>
    </row>
    <row r="12">
      <c r="A12" s="36"/>
      <c r="B12" s="36"/>
      <c r="C12" s="36"/>
      <c r="D12" s="36"/>
      <c r="E12" s="36"/>
      <c r="F12" s="36"/>
      <c r="G12" s="36"/>
    </row>
    <row r="13">
      <c r="A13" s="36"/>
      <c r="B13" s="36"/>
      <c r="C13" s="36"/>
      <c r="D13" s="36"/>
      <c r="E13" s="36"/>
      <c r="F13" s="36"/>
      <c r="G13" s="36"/>
    </row>
    <row r="14">
      <c r="A14" s="36"/>
      <c r="B14" s="36"/>
      <c r="C14" s="36"/>
      <c r="D14" s="36"/>
      <c r="E14" s="36"/>
      <c r="F14" s="36"/>
      <c r="G14" s="36"/>
    </row>
    <row r="15">
      <c r="A15" s="36"/>
      <c r="B15" s="36"/>
      <c r="C15" s="36"/>
      <c r="D15" s="36"/>
      <c r="E15" s="36"/>
      <c r="F15" s="36"/>
      <c r="G15" s="36"/>
    </row>
    <row r="16">
      <c r="A16" s="36"/>
      <c r="B16" s="36"/>
      <c r="C16" s="36"/>
      <c r="D16" s="36"/>
      <c r="E16" s="36"/>
      <c r="F16" s="36"/>
      <c r="G16" s="36"/>
    </row>
    <row r="17">
      <c r="A17" s="36"/>
      <c r="B17" s="36"/>
      <c r="C17" s="36"/>
      <c r="D17" s="36"/>
      <c r="E17" s="36"/>
      <c r="F17" s="36"/>
      <c r="G17" s="36"/>
    </row>
    <row r="18">
      <c r="A18" s="36"/>
      <c r="B18" s="36"/>
      <c r="C18" s="36"/>
      <c r="D18" s="36"/>
      <c r="E18" s="36"/>
      <c r="F18" s="36"/>
      <c r="G18" s="36"/>
    </row>
    <row r="19">
      <c r="A19" s="36"/>
      <c r="B19" s="36"/>
      <c r="C19" s="36"/>
      <c r="D19" s="36"/>
      <c r="E19" s="36"/>
      <c r="F19" s="36"/>
      <c r="G19" s="36"/>
    </row>
    <row r="20">
      <c r="A20" s="36"/>
      <c r="B20" s="36"/>
      <c r="C20" s="36"/>
      <c r="D20" s="36"/>
      <c r="E20" s="36"/>
      <c r="F20" s="36"/>
      <c r="G20" s="36"/>
    </row>
    <row r="21" ht="15.75" customHeight="1">
      <c r="A21" s="36"/>
      <c r="B21" s="36"/>
      <c r="C21" s="36"/>
      <c r="D21" s="36"/>
      <c r="E21" s="36"/>
      <c r="F21" s="36"/>
      <c r="G21" s="36"/>
    </row>
    <row r="22" ht="15.75" customHeight="1">
      <c r="A22" s="36"/>
      <c r="B22" s="36"/>
      <c r="C22" s="36"/>
      <c r="D22" s="36"/>
      <c r="E22" s="36"/>
      <c r="F22" s="36"/>
      <c r="G22" s="36"/>
    </row>
    <row r="23" ht="15.75" customHeight="1">
      <c r="A23" s="36"/>
      <c r="B23" s="36"/>
      <c r="C23" s="36"/>
      <c r="D23" s="36"/>
      <c r="E23" s="36"/>
      <c r="F23" s="36"/>
      <c r="G23" s="36"/>
    </row>
    <row r="24" ht="15.75" customHeight="1">
      <c r="A24" s="36"/>
      <c r="B24" s="36"/>
      <c r="C24" s="36"/>
      <c r="D24" s="36"/>
      <c r="E24" s="36"/>
      <c r="F24" s="36"/>
      <c r="G24" s="36"/>
    </row>
    <row r="25" ht="15.75" customHeight="1">
      <c r="A25" s="36"/>
      <c r="B25" s="36"/>
      <c r="C25" s="36"/>
      <c r="D25" s="36"/>
      <c r="E25" s="36"/>
      <c r="F25" s="36"/>
      <c r="G25" s="36"/>
    </row>
    <row r="26" ht="15.75" customHeight="1">
      <c r="A26" s="36"/>
      <c r="B26" s="36"/>
      <c r="C26" s="36"/>
      <c r="D26" s="36"/>
      <c r="E26" s="36"/>
      <c r="F26" s="36"/>
      <c r="G26" s="36"/>
    </row>
    <row r="27" ht="15.75" customHeight="1">
      <c r="A27" s="36"/>
      <c r="B27" s="36"/>
      <c r="C27" s="36"/>
      <c r="D27" s="36"/>
      <c r="E27" s="36"/>
      <c r="F27" s="36"/>
      <c r="G27" s="36"/>
    </row>
    <row r="28" ht="15.75" customHeight="1">
      <c r="A28" s="36"/>
      <c r="B28" s="36"/>
      <c r="C28" s="36"/>
      <c r="D28" s="36"/>
      <c r="E28" s="36"/>
      <c r="F28" s="36"/>
      <c r="G28" s="36"/>
    </row>
    <row r="29" ht="15.75" customHeight="1">
      <c r="A29" s="36"/>
      <c r="B29" s="36"/>
      <c r="C29" s="36"/>
      <c r="D29" s="36"/>
      <c r="E29" s="36"/>
      <c r="F29" s="36"/>
      <c r="G29" s="36"/>
    </row>
    <row r="30" ht="15.75" customHeight="1">
      <c r="A30" s="36"/>
      <c r="B30" s="36"/>
      <c r="C30" s="36"/>
      <c r="D30" s="36"/>
      <c r="E30" s="36"/>
      <c r="F30" s="36"/>
      <c r="G30" s="36"/>
    </row>
    <row r="31" ht="15.75" customHeight="1">
      <c r="A31" s="36"/>
      <c r="B31" s="36"/>
      <c r="C31" s="36"/>
      <c r="D31" s="36"/>
      <c r="E31" s="36"/>
      <c r="F31" s="36"/>
      <c r="G31" s="36"/>
    </row>
    <row r="32" ht="15.75" customHeight="1">
      <c r="A32" s="36"/>
      <c r="B32" s="36"/>
      <c r="C32" s="36"/>
      <c r="D32" s="36"/>
      <c r="E32" s="36"/>
      <c r="F32" s="36"/>
      <c r="G32" s="36"/>
    </row>
    <row r="33" ht="15.75" customHeight="1">
      <c r="A33" s="36"/>
      <c r="B33" s="36"/>
      <c r="C33" s="36"/>
      <c r="D33" s="36"/>
      <c r="E33" s="36"/>
      <c r="F33" s="36"/>
      <c r="G33" s="36"/>
    </row>
    <row r="34" ht="15.75" customHeight="1">
      <c r="A34" s="36"/>
      <c r="B34" s="36"/>
      <c r="C34" s="36"/>
      <c r="D34" s="36"/>
      <c r="E34" s="36"/>
      <c r="F34" s="36"/>
      <c r="G34" s="36"/>
    </row>
    <row r="35" ht="15.75" customHeight="1">
      <c r="A35" s="36"/>
      <c r="B35" s="36"/>
      <c r="C35" s="36"/>
      <c r="D35" s="36"/>
      <c r="E35" s="36"/>
      <c r="F35" s="36"/>
      <c r="G35" s="36"/>
    </row>
    <row r="36" ht="15.75" customHeight="1">
      <c r="A36" s="36"/>
      <c r="B36" s="36"/>
      <c r="C36" s="36"/>
      <c r="D36" s="36"/>
      <c r="E36" s="36"/>
      <c r="F36" s="36"/>
      <c r="G36" s="36"/>
    </row>
    <row r="37" ht="15.75" customHeight="1">
      <c r="A37" s="36"/>
      <c r="B37" s="36"/>
      <c r="C37" s="36"/>
      <c r="D37" s="36"/>
      <c r="E37" s="36"/>
      <c r="F37" s="36"/>
      <c r="G37" s="36"/>
    </row>
    <row r="38" ht="15.75" customHeight="1">
      <c r="A38" s="36"/>
      <c r="B38" s="36"/>
      <c r="C38" s="36"/>
      <c r="D38" s="36"/>
      <c r="E38" s="36"/>
      <c r="F38" s="36"/>
      <c r="G38" s="36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36"/>
      <c r="B185" s="36"/>
      <c r="C185" s="36"/>
      <c r="D185" s="36"/>
      <c r="E185" s="36"/>
      <c r="F185" s="36"/>
      <c r="G185" s="36"/>
    </row>
    <row r="186" ht="15.75" customHeight="1">
      <c r="A186" s="36"/>
      <c r="B186" s="36"/>
      <c r="C186" s="36"/>
      <c r="D186" s="36"/>
      <c r="E186" s="36"/>
      <c r="F186" s="36"/>
      <c r="G186" s="36"/>
    </row>
    <row r="187" ht="15.75" customHeight="1">
      <c r="A187" s="36"/>
      <c r="B187" s="36"/>
      <c r="C187" s="36"/>
      <c r="D187" s="36"/>
      <c r="E187" s="36"/>
      <c r="F187" s="36"/>
      <c r="G187" s="36"/>
    </row>
    <row r="188" ht="15.75" customHeight="1">
      <c r="A188" s="36"/>
      <c r="B188" s="36"/>
      <c r="C188" s="36"/>
      <c r="D188" s="36"/>
      <c r="E188" s="36"/>
      <c r="F188" s="36"/>
      <c r="G188" s="36"/>
    </row>
    <row r="189" ht="15.75" customHeight="1">
      <c r="A189" s="36"/>
      <c r="B189" s="36"/>
      <c r="C189" s="36"/>
      <c r="D189" s="36"/>
      <c r="E189" s="36"/>
      <c r="F189" s="36"/>
      <c r="G189" s="36"/>
    </row>
    <row r="190" ht="15.75" customHeight="1">
      <c r="A190" s="36"/>
      <c r="B190" s="36"/>
      <c r="C190" s="36"/>
      <c r="D190" s="36"/>
      <c r="E190" s="36"/>
      <c r="F190" s="36"/>
      <c r="G190" s="36"/>
    </row>
    <row r="191" ht="15.75" customHeight="1">
      <c r="A191" s="36"/>
      <c r="B191" s="36"/>
      <c r="C191" s="36"/>
      <c r="D191" s="36"/>
      <c r="E191" s="36"/>
      <c r="F191" s="36"/>
      <c r="G191" s="36"/>
    </row>
    <row r="192" ht="15.75" customHeight="1">
      <c r="A192" s="36"/>
      <c r="B192" s="36"/>
      <c r="C192" s="36"/>
      <c r="D192" s="36"/>
      <c r="E192" s="36"/>
      <c r="F192" s="36"/>
      <c r="G192" s="36"/>
    </row>
    <row r="193" ht="15.75" customHeight="1">
      <c r="A193" s="36"/>
      <c r="B193" s="36"/>
      <c r="C193" s="36"/>
      <c r="D193" s="36"/>
      <c r="E193" s="36"/>
      <c r="F193" s="36"/>
      <c r="G193" s="36"/>
    </row>
    <row r="194" ht="15.75" customHeight="1">
      <c r="A194" s="36"/>
      <c r="B194" s="36"/>
      <c r="C194" s="36"/>
      <c r="D194" s="36"/>
      <c r="E194" s="36"/>
      <c r="F194" s="36"/>
      <c r="G194" s="36"/>
    </row>
    <row r="195" ht="15.75" customHeight="1">
      <c r="A195" s="36"/>
      <c r="B195" s="36"/>
      <c r="C195" s="36"/>
      <c r="D195" s="36"/>
      <c r="E195" s="36"/>
      <c r="F195" s="36"/>
      <c r="G195" s="36"/>
    </row>
    <row r="196" ht="15.75" customHeight="1">
      <c r="A196" s="36"/>
      <c r="B196" s="36"/>
      <c r="C196" s="36"/>
      <c r="D196" s="36"/>
      <c r="E196" s="36"/>
      <c r="F196" s="36"/>
      <c r="G196" s="36"/>
    </row>
    <row r="197" ht="15.75" customHeight="1">
      <c r="A197" s="36"/>
      <c r="B197" s="36"/>
      <c r="C197" s="36"/>
      <c r="D197" s="36"/>
      <c r="E197" s="36"/>
      <c r="F197" s="36"/>
      <c r="G197" s="36"/>
    </row>
    <row r="198" ht="15.75" customHeight="1">
      <c r="A198" s="36"/>
      <c r="B198" s="36"/>
      <c r="C198" s="36"/>
      <c r="D198" s="36"/>
      <c r="E198" s="36"/>
      <c r="F198" s="36"/>
      <c r="G198" s="36"/>
    </row>
    <row r="199" ht="15.75" customHeight="1">
      <c r="A199" s="36"/>
      <c r="B199" s="36"/>
      <c r="C199" s="36"/>
      <c r="D199" s="36"/>
      <c r="E199" s="36"/>
      <c r="F199" s="36"/>
      <c r="G199" s="36"/>
    </row>
    <row r="200" ht="15.75" customHeight="1">
      <c r="A200" s="36"/>
      <c r="B200" s="36"/>
      <c r="C200" s="36"/>
      <c r="D200" s="36"/>
      <c r="E200" s="36"/>
      <c r="F200" s="36"/>
      <c r="G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26" width="8.63"/>
  </cols>
  <sheetData>
    <row r="1">
      <c r="A1" s="75" t="s">
        <v>881</v>
      </c>
      <c r="B1" s="75"/>
      <c r="C1" s="75"/>
      <c r="D1" s="75"/>
      <c r="E1" s="75"/>
      <c r="F1" s="75"/>
    </row>
    <row r="2">
      <c r="A2" s="36" t="s">
        <v>882</v>
      </c>
      <c r="B2" s="36" t="s">
        <v>871</v>
      </c>
      <c r="C2" s="36" t="s">
        <v>883</v>
      </c>
      <c r="D2" s="36" t="s">
        <v>884</v>
      </c>
      <c r="E2" s="36" t="s">
        <v>885</v>
      </c>
      <c r="F2" s="36" t="s">
        <v>886</v>
      </c>
    </row>
    <row r="3">
      <c r="A3" s="36" t="s">
        <v>887</v>
      </c>
      <c r="B3" s="36">
        <v>20221.0</v>
      </c>
      <c r="C3" s="36">
        <v>0.9841</v>
      </c>
      <c r="D3" s="36">
        <v>0.0</v>
      </c>
      <c r="E3" s="36">
        <v>0.9841</v>
      </c>
      <c r="F3" s="36">
        <v>0.977</v>
      </c>
    </row>
    <row r="4">
      <c r="A4" s="36" t="s">
        <v>888</v>
      </c>
      <c r="B4" s="36">
        <v>20233.0</v>
      </c>
      <c r="C4" s="36">
        <v>0.7593</v>
      </c>
      <c r="D4" s="36">
        <v>0.0</v>
      </c>
      <c r="E4" s="36">
        <v>0.7593</v>
      </c>
      <c r="F4" s="36">
        <v>1.614</v>
      </c>
    </row>
    <row r="5">
      <c r="A5" s="36"/>
      <c r="B5" s="36"/>
      <c r="C5" s="36"/>
      <c r="D5" s="36"/>
      <c r="E5" s="36"/>
      <c r="F5" s="36"/>
    </row>
    <row r="6">
      <c r="A6" s="36"/>
      <c r="B6" s="36"/>
      <c r="C6" s="36"/>
      <c r="D6" s="36"/>
      <c r="E6" s="36"/>
      <c r="F6" s="36"/>
    </row>
    <row r="7">
      <c r="A7" s="36"/>
      <c r="B7" s="36"/>
      <c r="C7" s="36"/>
      <c r="D7" s="36"/>
      <c r="E7" s="36"/>
      <c r="F7" s="36"/>
    </row>
    <row r="8">
      <c r="A8" s="36"/>
      <c r="B8" s="36"/>
      <c r="C8" s="36"/>
      <c r="D8" s="36"/>
      <c r="E8" s="36"/>
      <c r="F8" s="36"/>
    </row>
    <row r="9">
      <c r="A9" s="36"/>
      <c r="B9" s="36"/>
      <c r="C9" s="36"/>
      <c r="D9" s="36"/>
      <c r="E9" s="36"/>
      <c r="F9" s="36"/>
    </row>
    <row r="10">
      <c r="A10" s="36"/>
      <c r="B10" s="36"/>
      <c r="C10" s="36"/>
      <c r="D10" s="36"/>
      <c r="E10" s="36"/>
      <c r="F10" s="36"/>
    </row>
    <row r="11">
      <c r="A11" s="36"/>
      <c r="B11" s="36"/>
      <c r="C11" s="36"/>
      <c r="D11" s="36"/>
      <c r="E11" s="36"/>
      <c r="F11" s="36"/>
    </row>
    <row r="12">
      <c r="A12" s="36"/>
      <c r="B12" s="36"/>
      <c r="C12" s="36"/>
      <c r="D12" s="36"/>
      <c r="E12" s="36"/>
      <c r="F12" s="36"/>
    </row>
    <row r="13">
      <c r="A13" s="36"/>
      <c r="B13" s="36"/>
      <c r="C13" s="36"/>
      <c r="D13" s="36"/>
      <c r="E13" s="36"/>
      <c r="F13" s="36"/>
    </row>
    <row r="14">
      <c r="A14" s="36"/>
      <c r="B14" s="36"/>
      <c r="C14" s="36"/>
      <c r="D14" s="36"/>
      <c r="E14" s="36"/>
      <c r="F14" s="36"/>
    </row>
    <row r="15">
      <c r="A15" s="36"/>
      <c r="B15" s="36"/>
      <c r="C15" s="36"/>
      <c r="D15" s="36"/>
      <c r="E15" s="36"/>
      <c r="F15" s="36"/>
    </row>
    <row r="16">
      <c r="A16" s="36"/>
      <c r="B16" s="36"/>
      <c r="C16" s="36"/>
      <c r="D16" s="36"/>
      <c r="E16" s="36"/>
      <c r="F16" s="36"/>
    </row>
    <row r="17">
      <c r="A17" s="36"/>
      <c r="B17" s="36"/>
      <c r="C17" s="36"/>
      <c r="D17" s="36"/>
      <c r="E17" s="36"/>
      <c r="F17" s="36"/>
    </row>
    <row r="18">
      <c r="A18" s="36"/>
      <c r="B18" s="36"/>
      <c r="C18" s="36"/>
      <c r="D18" s="36"/>
      <c r="E18" s="36"/>
      <c r="F18" s="36"/>
    </row>
    <row r="19">
      <c r="A19" s="36"/>
      <c r="B19" s="36"/>
      <c r="C19" s="36"/>
      <c r="D19" s="36"/>
      <c r="E19" s="36"/>
      <c r="F19" s="36"/>
    </row>
    <row r="20">
      <c r="A20" s="36"/>
      <c r="B20" s="36"/>
      <c r="C20" s="36"/>
      <c r="D20" s="36"/>
      <c r="E20" s="36"/>
      <c r="F20" s="36"/>
    </row>
    <row r="21" ht="15.75" customHeight="1">
      <c r="A21" s="36"/>
      <c r="B21" s="36"/>
      <c r="C21" s="36"/>
      <c r="D21" s="36"/>
      <c r="E21" s="36"/>
      <c r="F21" s="36"/>
    </row>
    <row r="22" ht="15.75" customHeight="1">
      <c r="A22" s="36"/>
      <c r="B22" s="36"/>
      <c r="C22" s="36"/>
      <c r="D22" s="36"/>
      <c r="E22" s="36"/>
      <c r="F22" s="36"/>
    </row>
    <row r="23" ht="15.75" customHeight="1">
      <c r="A23" s="36"/>
      <c r="B23" s="36"/>
      <c r="C23" s="36"/>
      <c r="D23" s="36"/>
      <c r="E23" s="36"/>
      <c r="F23" s="36"/>
    </row>
    <row r="24" ht="15.75" customHeight="1">
      <c r="A24" s="36"/>
      <c r="B24" s="36"/>
      <c r="C24" s="36"/>
      <c r="D24" s="36"/>
      <c r="E24" s="36"/>
      <c r="F24" s="36"/>
    </row>
    <row r="25" ht="15.75" customHeight="1">
      <c r="A25" s="36"/>
      <c r="B25" s="36"/>
      <c r="C25" s="36"/>
      <c r="D25" s="36"/>
      <c r="E25" s="36"/>
      <c r="F25" s="36"/>
    </row>
    <row r="26" ht="15.75" customHeight="1">
      <c r="A26" s="36"/>
      <c r="B26" s="36"/>
      <c r="C26" s="36"/>
      <c r="D26" s="36"/>
      <c r="E26" s="36"/>
      <c r="F26" s="36"/>
    </row>
    <row r="27" ht="15.75" customHeight="1">
      <c r="A27" s="36"/>
      <c r="B27" s="36"/>
      <c r="C27" s="36"/>
      <c r="D27" s="36"/>
      <c r="E27" s="36"/>
      <c r="F27" s="36"/>
    </row>
    <row r="28" ht="15.75" customHeight="1">
      <c r="A28" s="36"/>
      <c r="B28" s="36"/>
      <c r="C28" s="36"/>
      <c r="D28" s="36"/>
      <c r="E28" s="36"/>
      <c r="F28" s="36"/>
    </row>
    <row r="29" ht="15.75" customHeight="1">
      <c r="A29" s="36"/>
      <c r="B29" s="36"/>
      <c r="C29" s="36"/>
      <c r="D29" s="36"/>
      <c r="E29" s="36"/>
      <c r="F29" s="36"/>
    </row>
    <row r="30" ht="15.75" customHeight="1">
      <c r="A30" s="36"/>
      <c r="B30" s="36"/>
      <c r="C30" s="36"/>
      <c r="D30" s="36"/>
      <c r="E30" s="36"/>
      <c r="F30" s="36"/>
    </row>
    <row r="31" ht="15.75" customHeight="1">
      <c r="A31" s="36"/>
      <c r="B31" s="36"/>
      <c r="C31" s="36"/>
      <c r="D31" s="36"/>
      <c r="E31" s="36"/>
      <c r="F31" s="36"/>
    </row>
    <row r="32" ht="15.75" customHeight="1">
      <c r="A32" s="36"/>
      <c r="B32" s="36"/>
      <c r="C32" s="36"/>
      <c r="D32" s="36"/>
      <c r="E32" s="36"/>
      <c r="F32" s="36"/>
    </row>
    <row r="33" ht="15.75" customHeight="1">
      <c r="A33" s="36"/>
      <c r="B33" s="36"/>
      <c r="C33" s="36"/>
      <c r="D33" s="36"/>
      <c r="E33" s="36"/>
      <c r="F33" s="36"/>
    </row>
    <row r="34" ht="15.75" customHeight="1">
      <c r="A34" s="36"/>
      <c r="B34" s="36"/>
      <c r="C34" s="36"/>
      <c r="D34" s="36"/>
      <c r="E34" s="36"/>
      <c r="F34" s="36"/>
    </row>
    <row r="35" ht="15.75" customHeight="1">
      <c r="A35" s="36"/>
      <c r="B35" s="36"/>
      <c r="C35" s="36"/>
      <c r="D35" s="36"/>
      <c r="E35" s="36"/>
      <c r="F35" s="36"/>
    </row>
    <row r="36" ht="15.75" customHeight="1">
      <c r="A36" s="36"/>
      <c r="B36" s="36"/>
      <c r="C36" s="36"/>
      <c r="D36" s="36"/>
      <c r="E36" s="36"/>
      <c r="F36" s="36"/>
    </row>
    <row r="37" ht="15.75" customHeight="1">
      <c r="A37" s="36"/>
      <c r="B37" s="36"/>
      <c r="C37" s="36"/>
      <c r="D37" s="36"/>
      <c r="E37" s="36"/>
      <c r="F37" s="36"/>
    </row>
    <row r="38" ht="15.75" customHeight="1">
      <c r="A38" s="36"/>
      <c r="B38" s="36"/>
      <c r="C38" s="36"/>
      <c r="D38" s="36"/>
      <c r="E38" s="36"/>
      <c r="F38" s="36"/>
    </row>
    <row r="39" ht="15.75" customHeight="1">
      <c r="A39" s="36"/>
      <c r="B39" s="36"/>
      <c r="C39" s="36"/>
      <c r="D39" s="36"/>
      <c r="E39" s="36"/>
      <c r="F39" s="36"/>
    </row>
    <row r="40" ht="15.75" customHeight="1">
      <c r="A40" s="36"/>
      <c r="B40" s="36"/>
      <c r="C40" s="36"/>
      <c r="D40" s="36"/>
      <c r="E40" s="36"/>
      <c r="F40" s="36"/>
    </row>
    <row r="41" ht="15.75" customHeight="1">
      <c r="A41" s="36"/>
      <c r="B41" s="36"/>
      <c r="C41" s="36"/>
      <c r="D41" s="36"/>
      <c r="E41" s="36"/>
      <c r="F41" s="36"/>
    </row>
    <row r="42" ht="15.75" customHeight="1">
      <c r="A42" s="36"/>
      <c r="B42" s="36"/>
      <c r="C42" s="36"/>
      <c r="D42" s="36"/>
      <c r="E42" s="36"/>
      <c r="F42" s="36"/>
    </row>
    <row r="43" ht="15.75" customHeight="1">
      <c r="A43" s="36"/>
      <c r="B43" s="36"/>
      <c r="C43" s="36"/>
      <c r="D43" s="36"/>
      <c r="E43" s="36"/>
      <c r="F43" s="36"/>
    </row>
    <row r="44" ht="15.75" customHeight="1">
      <c r="A44" s="36"/>
      <c r="B44" s="36"/>
      <c r="C44" s="36"/>
      <c r="D44" s="36"/>
      <c r="E44" s="36"/>
      <c r="F44" s="36"/>
    </row>
    <row r="45" ht="15.75" customHeight="1">
      <c r="A45" s="36"/>
      <c r="B45" s="36"/>
      <c r="C45" s="36"/>
      <c r="D45" s="36"/>
      <c r="E45" s="36"/>
      <c r="F45" s="36"/>
    </row>
    <row r="46" ht="15.75" customHeight="1">
      <c r="A46" s="36"/>
      <c r="B46" s="36"/>
      <c r="C46" s="36"/>
      <c r="D46" s="36"/>
      <c r="E46" s="36"/>
      <c r="F46" s="36"/>
    </row>
    <row r="47" ht="15.75" customHeight="1">
      <c r="A47" s="36"/>
      <c r="B47" s="36"/>
      <c r="C47" s="36"/>
      <c r="D47" s="36"/>
      <c r="E47" s="36"/>
      <c r="F47" s="36"/>
    </row>
    <row r="48" ht="15.75" customHeight="1">
      <c r="A48" s="36"/>
      <c r="B48" s="36"/>
      <c r="C48" s="36"/>
      <c r="D48" s="36"/>
      <c r="E48" s="36"/>
      <c r="F48" s="36"/>
    </row>
    <row r="49" ht="15.75" customHeight="1">
      <c r="A49" s="36"/>
      <c r="B49" s="36"/>
      <c r="C49" s="36"/>
      <c r="D49" s="36"/>
      <c r="E49" s="36"/>
      <c r="F49" s="36"/>
    </row>
    <row r="50" ht="15.75" customHeight="1">
      <c r="A50" s="36"/>
      <c r="B50" s="36"/>
      <c r="C50" s="36"/>
      <c r="D50" s="36"/>
      <c r="E50" s="36"/>
      <c r="F50" s="36"/>
    </row>
    <row r="51" ht="15.75" customHeight="1">
      <c r="A51" s="36"/>
      <c r="B51" s="36"/>
      <c r="C51" s="36"/>
      <c r="D51" s="36"/>
      <c r="E51" s="36"/>
      <c r="F51" s="36"/>
    </row>
    <row r="52" ht="15.75" customHeight="1">
      <c r="A52" s="36"/>
      <c r="B52" s="36"/>
      <c r="C52" s="36"/>
      <c r="D52" s="36"/>
      <c r="E52" s="36"/>
      <c r="F52" s="36"/>
    </row>
    <row r="53" ht="15.75" customHeight="1">
      <c r="A53" s="36"/>
      <c r="B53" s="36"/>
      <c r="C53" s="36"/>
      <c r="D53" s="36"/>
      <c r="E53" s="36"/>
      <c r="F53" s="36"/>
    </row>
    <row r="54" ht="15.75" customHeight="1">
      <c r="A54" s="36"/>
      <c r="B54" s="36"/>
      <c r="C54" s="36"/>
      <c r="D54" s="36"/>
      <c r="E54" s="36"/>
      <c r="F54" s="36"/>
    </row>
    <row r="55" ht="15.75" customHeight="1">
      <c r="A55" s="36"/>
      <c r="B55" s="36"/>
      <c r="C55" s="36"/>
      <c r="D55" s="36"/>
      <c r="E55" s="36"/>
      <c r="F55" s="36"/>
    </row>
    <row r="56" ht="15.75" customHeight="1">
      <c r="A56" s="36"/>
      <c r="B56" s="36"/>
      <c r="C56" s="36"/>
      <c r="D56" s="36"/>
      <c r="E56" s="36"/>
      <c r="F56" s="36"/>
    </row>
    <row r="57" ht="15.75" customHeight="1">
      <c r="A57" s="36"/>
      <c r="B57" s="36"/>
      <c r="C57" s="36"/>
      <c r="D57" s="36"/>
      <c r="E57" s="36"/>
      <c r="F57" s="36"/>
    </row>
    <row r="58" ht="15.75" customHeight="1">
      <c r="A58" s="36"/>
      <c r="B58" s="36"/>
      <c r="C58" s="36"/>
      <c r="D58" s="36"/>
      <c r="E58" s="36"/>
      <c r="F58" s="36"/>
    </row>
    <row r="59" ht="15.75" customHeight="1">
      <c r="A59" s="36"/>
      <c r="B59" s="36"/>
      <c r="C59" s="36"/>
      <c r="D59" s="36"/>
      <c r="E59" s="36"/>
      <c r="F59" s="36"/>
    </row>
    <row r="60" ht="15.75" customHeight="1">
      <c r="A60" s="36"/>
      <c r="B60" s="36"/>
      <c r="C60" s="36"/>
      <c r="D60" s="36"/>
      <c r="E60" s="36"/>
      <c r="F60" s="36"/>
    </row>
    <row r="61" ht="15.75" customHeight="1">
      <c r="A61" s="36"/>
      <c r="B61" s="36"/>
      <c r="C61" s="36"/>
      <c r="D61" s="36"/>
      <c r="E61" s="36"/>
      <c r="F61" s="36"/>
    </row>
    <row r="62" ht="15.75" customHeight="1">
      <c r="A62" s="36"/>
      <c r="B62" s="36"/>
      <c r="C62" s="36"/>
      <c r="D62" s="36"/>
      <c r="E62" s="36"/>
      <c r="F62" s="36"/>
    </row>
    <row r="63" ht="15.75" customHeight="1">
      <c r="A63" s="36"/>
      <c r="B63" s="36"/>
      <c r="C63" s="36"/>
      <c r="D63" s="36"/>
      <c r="E63" s="36"/>
      <c r="F63" s="36"/>
    </row>
    <row r="64" ht="15.75" customHeight="1">
      <c r="A64" s="36"/>
      <c r="B64" s="36"/>
      <c r="C64" s="36"/>
      <c r="D64" s="36"/>
      <c r="E64" s="36"/>
      <c r="F64" s="36"/>
    </row>
    <row r="65" ht="15.75" customHeight="1">
      <c r="A65" s="36"/>
      <c r="B65" s="36"/>
      <c r="C65" s="36"/>
      <c r="D65" s="36"/>
      <c r="E65" s="36"/>
      <c r="F65" s="36"/>
    </row>
    <row r="66" ht="15.75" customHeight="1">
      <c r="A66" s="36"/>
      <c r="B66" s="36"/>
      <c r="C66" s="36"/>
      <c r="D66" s="36"/>
      <c r="E66" s="36"/>
      <c r="F66" s="36"/>
    </row>
    <row r="67" ht="15.75" customHeight="1">
      <c r="A67" s="36"/>
      <c r="B67" s="36"/>
      <c r="C67" s="36"/>
      <c r="D67" s="36"/>
      <c r="E67" s="36"/>
      <c r="F67" s="36"/>
    </row>
    <row r="68" ht="15.75" customHeight="1">
      <c r="A68" s="36"/>
      <c r="B68" s="36"/>
      <c r="C68" s="36"/>
      <c r="D68" s="36"/>
      <c r="E68" s="36"/>
      <c r="F68" s="36"/>
    </row>
    <row r="69" ht="15.75" customHeight="1">
      <c r="A69" s="36"/>
      <c r="B69" s="36"/>
      <c r="C69" s="36"/>
      <c r="D69" s="36"/>
      <c r="E69" s="36"/>
      <c r="F69" s="36"/>
    </row>
    <row r="70" ht="15.75" customHeight="1">
      <c r="A70" s="36"/>
      <c r="B70" s="36"/>
      <c r="C70" s="36"/>
      <c r="D70" s="36"/>
      <c r="E70" s="36"/>
      <c r="F70" s="36"/>
    </row>
    <row r="71" ht="15.75" customHeight="1">
      <c r="A71" s="36"/>
      <c r="B71" s="36"/>
      <c r="C71" s="36"/>
      <c r="D71" s="36"/>
      <c r="E71" s="36"/>
      <c r="F71" s="36"/>
    </row>
    <row r="72" ht="15.75" customHeight="1">
      <c r="A72" s="36"/>
      <c r="B72" s="36"/>
      <c r="C72" s="36"/>
      <c r="D72" s="36"/>
      <c r="E72" s="36"/>
      <c r="F72" s="36"/>
    </row>
    <row r="73" ht="15.75" customHeight="1">
      <c r="A73" s="36"/>
      <c r="B73" s="36"/>
      <c r="C73" s="36"/>
      <c r="D73" s="36"/>
      <c r="E73" s="36"/>
      <c r="F73" s="36"/>
    </row>
    <row r="74" ht="15.75" customHeight="1">
      <c r="A74" s="36"/>
      <c r="B74" s="36"/>
      <c r="C74" s="36"/>
      <c r="D74" s="36"/>
      <c r="E74" s="36"/>
      <c r="F74" s="36"/>
    </row>
    <row r="75" ht="15.75" customHeight="1">
      <c r="A75" s="36"/>
      <c r="B75" s="36"/>
      <c r="C75" s="36"/>
      <c r="D75" s="36"/>
      <c r="E75" s="36"/>
      <c r="F75" s="36"/>
    </row>
    <row r="76" ht="15.75" customHeight="1">
      <c r="A76" s="36"/>
      <c r="B76" s="36"/>
      <c r="C76" s="36"/>
      <c r="D76" s="36"/>
      <c r="E76" s="36"/>
      <c r="F76" s="36"/>
    </row>
    <row r="77" ht="15.75" customHeight="1">
      <c r="A77" s="36"/>
      <c r="B77" s="36"/>
      <c r="C77" s="36"/>
      <c r="D77" s="36"/>
      <c r="E77" s="36"/>
      <c r="F77" s="36"/>
    </row>
    <row r="78" ht="15.75" customHeight="1">
      <c r="A78" s="36"/>
      <c r="B78" s="36"/>
      <c r="C78" s="36"/>
      <c r="D78" s="36"/>
      <c r="E78" s="36"/>
      <c r="F78" s="36"/>
    </row>
    <row r="79" ht="15.75" customHeight="1">
      <c r="A79" s="36"/>
      <c r="B79" s="36"/>
      <c r="C79" s="36"/>
      <c r="D79" s="36"/>
      <c r="E79" s="36"/>
      <c r="F79" s="36"/>
    </row>
    <row r="80" ht="15.75" customHeight="1">
      <c r="A80" s="36"/>
      <c r="B80" s="36"/>
      <c r="C80" s="36"/>
      <c r="D80" s="36"/>
      <c r="E80" s="36"/>
      <c r="F80" s="36"/>
    </row>
    <row r="81" ht="15.75" customHeight="1">
      <c r="A81" s="36"/>
      <c r="B81" s="36"/>
      <c r="C81" s="36"/>
      <c r="D81" s="36"/>
      <c r="E81" s="36"/>
      <c r="F81" s="36"/>
    </row>
    <row r="82" ht="15.75" customHeight="1">
      <c r="A82" s="36"/>
      <c r="B82" s="36"/>
      <c r="C82" s="36"/>
      <c r="D82" s="36"/>
      <c r="E82" s="36"/>
      <c r="F82" s="36"/>
    </row>
    <row r="83" ht="15.75" customHeight="1">
      <c r="A83" s="36"/>
      <c r="B83" s="36"/>
      <c r="C83" s="36"/>
      <c r="D83" s="36"/>
      <c r="E83" s="36"/>
      <c r="F83" s="36"/>
    </row>
    <row r="84" ht="15.75" customHeight="1">
      <c r="A84" s="36"/>
      <c r="B84" s="36"/>
      <c r="C84" s="36"/>
      <c r="D84" s="36"/>
      <c r="E84" s="36"/>
      <c r="F84" s="36"/>
    </row>
    <row r="85" ht="15.75" customHeight="1">
      <c r="A85" s="36"/>
      <c r="B85" s="36"/>
      <c r="C85" s="36"/>
      <c r="D85" s="36"/>
      <c r="E85" s="36"/>
      <c r="F85" s="36"/>
    </row>
    <row r="86" ht="15.75" customHeight="1">
      <c r="A86" s="36"/>
      <c r="B86" s="36"/>
      <c r="C86" s="36"/>
      <c r="D86" s="36"/>
      <c r="E86" s="36"/>
      <c r="F86" s="36"/>
    </row>
    <row r="87" ht="15.75" customHeight="1">
      <c r="A87" s="36"/>
      <c r="B87" s="36"/>
      <c r="C87" s="36"/>
      <c r="D87" s="36"/>
      <c r="E87" s="36"/>
      <c r="F87" s="36"/>
    </row>
    <row r="88" ht="15.75" customHeight="1">
      <c r="A88" s="36"/>
      <c r="B88" s="36"/>
      <c r="C88" s="36"/>
      <c r="D88" s="36"/>
      <c r="E88" s="36"/>
      <c r="F88" s="36"/>
    </row>
    <row r="89" ht="15.75" customHeight="1">
      <c r="A89" s="36"/>
      <c r="B89" s="36"/>
      <c r="C89" s="36"/>
      <c r="D89" s="36"/>
      <c r="E89" s="36"/>
      <c r="F89" s="36"/>
    </row>
    <row r="90" ht="15.75" customHeight="1">
      <c r="A90" s="36"/>
      <c r="B90" s="36"/>
      <c r="C90" s="36"/>
      <c r="D90" s="36"/>
      <c r="E90" s="36"/>
      <c r="F90" s="36"/>
    </row>
    <row r="91" ht="15.75" customHeight="1">
      <c r="A91" s="36"/>
      <c r="B91" s="36"/>
      <c r="C91" s="36"/>
      <c r="D91" s="36"/>
      <c r="E91" s="36"/>
      <c r="F91" s="36"/>
    </row>
    <row r="92" ht="15.75" customHeight="1">
      <c r="A92" s="36"/>
      <c r="B92" s="36"/>
      <c r="C92" s="36"/>
      <c r="D92" s="36"/>
      <c r="E92" s="36"/>
      <c r="F92" s="36"/>
    </row>
    <row r="93" ht="15.75" customHeight="1">
      <c r="A93" s="36"/>
      <c r="B93" s="36"/>
      <c r="C93" s="36"/>
      <c r="D93" s="36"/>
      <c r="E93" s="36"/>
      <c r="F93" s="36"/>
    </row>
    <row r="94" ht="15.75" customHeight="1">
      <c r="A94" s="36"/>
      <c r="B94" s="36"/>
      <c r="C94" s="36"/>
      <c r="D94" s="36"/>
      <c r="E94" s="36"/>
      <c r="F94" s="36"/>
    </row>
    <row r="95" ht="15.75" customHeight="1">
      <c r="A95" s="36"/>
      <c r="B95" s="36"/>
      <c r="C95" s="36"/>
      <c r="D95" s="36"/>
      <c r="E95" s="36"/>
      <c r="F95" s="36"/>
    </row>
    <row r="96" ht="15.75" customHeight="1">
      <c r="A96" s="36"/>
      <c r="B96" s="36"/>
      <c r="C96" s="36"/>
      <c r="D96" s="36"/>
      <c r="E96" s="36"/>
      <c r="F96" s="36"/>
    </row>
    <row r="97" ht="15.75" customHeight="1">
      <c r="A97" s="36"/>
      <c r="B97" s="36"/>
      <c r="C97" s="36"/>
      <c r="D97" s="36"/>
      <c r="E97" s="36"/>
      <c r="F97" s="36"/>
    </row>
    <row r="98" ht="15.75" customHeight="1">
      <c r="A98" s="36"/>
      <c r="B98" s="36"/>
      <c r="C98" s="36"/>
      <c r="D98" s="36"/>
      <c r="E98" s="36"/>
      <c r="F98" s="36"/>
    </row>
    <row r="99" ht="15.75" customHeight="1">
      <c r="A99" s="36"/>
      <c r="B99" s="36"/>
      <c r="C99" s="36"/>
      <c r="D99" s="36"/>
      <c r="E99" s="36"/>
      <c r="F99" s="36"/>
    </row>
    <row r="100" ht="15.75" customHeight="1">
      <c r="A100" s="36"/>
      <c r="B100" s="36"/>
      <c r="C100" s="36"/>
      <c r="D100" s="36"/>
      <c r="E100" s="36"/>
      <c r="F100" s="36"/>
    </row>
    <row r="101" ht="15.75" customHeight="1">
      <c r="A101" s="36"/>
      <c r="B101" s="36"/>
      <c r="C101" s="36"/>
      <c r="D101" s="36"/>
      <c r="E101" s="36"/>
      <c r="F101" s="36"/>
    </row>
    <row r="102" ht="15.75" customHeight="1">
      <c r="A102" s="36"/>
      <c r="B102" s="36"/>
      <c r="C102" s="36"/>
      <c r="D102" s="36"/>
      <c r="E102" s="36"/>
      <c r="F102" s="36"/>
    </row>
    <row r="103" ht="15.75" customHeight="1">
      <c r="A103" s="36"/>
      <c r="B103" s="36"/>
      <c r="C103" s="36"/>
      <c r="D103" s="36"/>
      <c r="E103" s="36"/>
      <c r="F103" s="36"/>
    </row>
    <row r="104" ht="15.75" customHeight="1">
      <c r="A104" s="36"/>
      <c r="B104" s="36"/>
      <c r="C104" s="36"/>
      <c r="D104" s="36"/>
      <c r="E104" s="36"/>
      <c r="F104" s="36"/>
    </row>
    <row r="105" ht="15.75" customHeight="1">
      <c r="A105" s="36"/>
      <c r="B105" s="36"/>
      <c r="C105" s="36"/>
      <c r="D105" s="36"/>
      <c r="E105" s="36"/>
      <c r="F105" s="36"/>
    </row>
    <row r="106" ht="15.75" customHeight="1">
      <c r="A106" s="36"/>
      <c r="B106" s="36"/>
      <c r="C106" s="36"/>
      <c r="D106" s="36"/>
      <c r="E106" s="36"/>
      <c r="F106" s="36"/>
    </row>
    <row r="107" ht="15.75" customHeight="1">
      <c r="A107" s="36"/>
      <c r="B107" s="36"/>
      <c r="C107" s="36"/>
      <c r="D107" s="36"/>
      <c r="E107" s="36"/>
      <c r="F107" s="36"/>
    </row>
    <row r="108" ht="15.75" customHeight="1">
      <c r="A108" s="36"/>
      <c r="B108" s="36"/>
      <c r="C108" s="36"/>
      <c r="D108" s="36"/>
      <c r="E108" s="36"/>
      <c r="F108" s="36"/>
    </row>
    <row r="109" ht="15.75" customHeight="1">
      <c r="A109" s="36"/>
      <c r="B109" s="36"/>
      <c r="C109" s="36"/>
      <c r="D109" s="36"/>
      <c r="E109" s="36"/>
      <c r="F109" s="36"/>
    </row>
    <row r="110" ht="15.75" customHeight="1">
      <c r="A110" s="36"/>
      <c r="B110" s="36"/>
      <c r="C110" s="36"/>
      <c r="D110" s="36"/>
      <c r="E110" s="36"/>
      <c r="F110" s="36"/>
    </row>
    <row r="111" ht="15.75" customHeight="1">
      <c r="A111" s="36"/>
      <c r="B111" s="36"/>
      <c r="C111" s="36"/>
      <c r="D111" s="36"/>
      <c r="E111" s="36"/>
      <c r="F111" s="36"/>
    </row>
    <row r="112" ht="15.75" customHeight="1">
      <c r="A112" s="36"/>
      <c r="B112" s="36"/>
      <c r="C112" s="36"/>
      <c r="D112" s="36"/>
      <c r="E112" s="36"/>
      <c r="F112" s="36"/>
    </row>
    <row r="113" ht="15.75" customHeight="1">
      <c r="A113" s="36"/>
      <c r="B113" s="36"/>
      <c r="C113" s="36"/>
      <c r="D113" s="36"/>
      <c r="E113" s="36"/>
      <c r="F113" s="36"/>
    </row>
    <row r="114" ht="15.75" customHeight="1">
      <c r="A114" s="36"/>
      <c r="B114" s="36"/>
      <c r="C114" s="36"/>
      <c r="D114" s="36"/>
      <c r="E114" s="36"/>
      <c r="F114" s="36"/>
    </row>
    <row r="115" ht="15.75" customHeight="1">
      <c r="A115" s="36"/>
      <c r="B115" s="36"/>
      <c r="C115" s="36"/>
      <c r="D115" s="36"/>
      <c r="E115" s="36"/>
      <c r="F115" s="36"/>
    </row>
    <row r="116" ht="15.75" customHeight="1">
      <c r="A116" s="36"/>
      <c r="B116" s="36"/>
      <c r="C116" s="36"/>
      <c r="D116" s="36"/>
      <c r="E116" s="36"/>
      <c r="F116" s="36"/>
    </row>
    <row r="117" ht="15.75" customHeight="1">
      <c r="A117" s="36"/>
      <c r="B117" s="36"/>
      <c r="C117" s="36"/>
      <c r="D117" s="36"/>
      <c r="E117" s="36"/>
      <c r="F117" s="36"/>
    </row>
    <row r="118" ht="15.75" customHeight="1">
      <c r="A118" s="36"/>
      <c r="B118" s="36"/>
      <c r="C118" s="36"/>
      <c r="D118" s="36"/>
      <c r="E118" s="36"/>
      <c r="F118" s="36"/>
    </row>
    <row r="119" ht="15.75" customHeight="1">
      <c r="A119" s="36"/>
      <c r="B119" s="36"/>
      <c r="C119" s="36"/>
      <c r="D119" s="36"/>
      <c r="E119" s="36"/>
      <c r="F119" s="36"/>
    </row>
    <row r="120" ht="15.75" customHeight="1">
      <c r="A120" s="36"/>
      <c r="B120" s="36"/>
      <c r="C120" s="36"/>
      <c r="D120" s="36"/>
      <c r="E120" s="36"/>
      <c r="F120" s="36"/>
    </row>
    <row r="121" ht="15.75" customHeight="1">
      <c r="A121" s="36"/>
      <c r="B121" s="36"/>
      <c r="C121" s="36"/>
      <c r="D121" s="36"/>
      <c r="E121" s="36"/>
      <c r="F121" s="36"/>
    </row>
    <row r="122" ht="15.75" customHeight="1">
      <c r="A122" s="36"/>
      <c r="B122" s="36"/>
      <c r="C122" s="36"/>
      <c r="D122" s="36"/>
      <c r="E122" s="36"/>
      <c r="F122" s="36"/>
    </row>
    <row r="123" ht="15.75" customHeight="1">
      <c r="A123" s="36"/>
      <c r="B123" s="36"/>
      <c r="C123" s="36"/>
      <c r="D123" s="36"/>
      <c r="E123" s="36"/>
      <c r="F123" s="36"/>
    </row>
    <row r="124" ht="15.75" customHeight="1">
      <c r="A124" s="36"/>
      <c r="B124" s="36"/>
      <c r="C124" s="36"/>
      <c r="D124" s="36"/>
      <c r="E124" s="36"/>
      <c r="F124" s="36"/>
    </row>
    <row r="125" ht="15.75" customHeight="1">
      <c r="A125" s="36"/>
      <c r="B125" s="36"/>
      <c r="C125" s="36"/>
      <c r="D125" s="36"/>
      <c r="E125" s="36"/>
      <c r="F125" s="36"/>
    </row>
    <row r="126" ht="15.75" customHeight="1">
      <c r="A126" s="36"/>
      <c r="B126" s="36"/>
      <c r="C126" s="36"/>
      <c r="D126" s="36"/>
      <c r="E126" s="36"/>
      <c r="F126" s="36"/>
    </row>
    <row r="127" ht="15.75" customHeight="1">
      <c r="A127" s="36"/>
      <c r="B127" s="36"/>
      <c r="C127" s="36"/>
      <c r="D127" s="36"/>
      <c r="E127" s="36"/>
      <c r="F127" s="36"/>
    </row>
    <row r="128" ht="15.75" customHeight="1">
      <c r="A128" s="36"/>
      <c r="B128" s="36"/>
      <c r="C128" s="36"/>
      <c r="D128" s="36"/>
      <c r="E128" s="36"/>
      <c r="F128" s="36"/>
    </row>
    <row r="129" ht="15.75" customHeight="1">
      <c r="A129" s="36"/>
      <c r="B129" s="36"/>
      <c r="C129" s="36"/>
      <c r="D129" s="36"/>
      <c r="E129" s="36"/>
      <c r="F129" s="36"/>
    </row>
    <row r="130" ht="15.75" customHeight="1">
      <c r="A130" s="36"/>
      <c r="B130" s="36"/>
      <c r="C130" s="36"/>
      <c r="D130" s="36"/>
      <c r="E130" s="36"/>
      <c r="F130" s="36"/>
    </row>
    <row r="131" ht="15.75" customHeight="1">
      <c r="A131" s="36"/>
      <c r="B131" s="36"/>
      <c r="C131" s="36"/>
      <c r="D131" s="36"/>
      <c r="E131" s="36"/>
      <c r="F131" s="36"/>
    </row>
    <row r="132" ht="15.75" customHeight="1">
      <c r="A132" s="36"/>
      <c r="B132" s="36"/>
      <c r="C132" s="36"/>
      <c r="D132" s="36"/>
      <c r="E132" s="36"/>
      <c r="F132" s="36"/>
    </row>
    <row r="133" ht="15.75" customHeight="1">
      <c r="A133" s="36"/>
      <c r="B133" s="36"/>
      <c r="C133" s="36"/>
      <c r="D133" s="36"/>
      <c r="E133" s="36"/>
      <c r="F133" s="36"/>
    </row>
    <row r="134" ht="15.75" customHeight="1">
      <c r="A134" s="36"/>
      <c r="B134" s="36"/>
      <c r="C134" s="36"/>
      <c r="D134" s="36"/>
      <c r="E134" s="36"/>
      <c r="F134" s="36"/>
    </row>
    <row r="135" ht="15.75" customHeight="1">
      <c r="A135" s="36"/>
      <c r="B135" s="36"/>
      <c r="C135" s="36"/>
      <c r="D135" s="36"/>
      <c r="E135" s="36"/>
      <c r="F135" s="36"/>
    </row>
    <row r="136" ht="15.75" customHeight="1">
      <c r="A136" s="36"/>
      <c r="B136" s="36"/>
      <c r="C136" s="36"/>
      <c r="D136" s="36"/>
      <c r="E136" s="36"/>
      <c r="F136" s="36"/>
    </row>
    <row r="137" ht="15.75" customHeight="1">
      <c r="A137" s="36"/>
      <c r="B137" s="36"/>
      <c r="C137" s="36"/>
      <c r="D137" s="36"/>
      <c r="E137" s="36"/>
      <c r="F137" s="36"/>
    </row>
    <row r="138" ht="15.75" customHeight="1">
      <c r="A138" s="36"/>
      <c r="B138" s="36"/>
      <c r="C138" s="36"/>
      <c r="D138" s="36"/>
      <c r="E138" s="36"/>
      <c r="F138" s="36"/>
    </row>
    <row r="139" ht="15.75" customHeight="1">
      <c r="A139" s="36"/>
      <c r="B139" s="36"/>
      <c r="C139" s="36"/>
      <c r="D139" s="36"/>
      <c r="E139" s="36"/>
      <c r="F139" s="36"/>
    </row>
    <row r="140" ht="15.75" customHeight="1">
      <c r="A140" s="36"/>
      <c r="B140" s="36"/>
      <c r="C140" s="36"/>
      <c r="D140" s="36"/>
      <c r="E140" s="36"/>
      <c r="F140" s="36"/>
    </row>
    <row r="141" ht="15.75" customHeight="1">
      <c r="A141" s="36"/>
      <c r="B141" s="36"/>
      <c r="C141" s="36"/>
      <c r="D141" s="36"/>
      <c r="E141" s="36"/>
      <c r="F141" s="36"/>
    </row>
    <row r="142" ht="15.75" customHeight="1">
      <c r="A142" s="36"/>
      <c r="B142" s="36"/>
      <c r="C142" s="36"/>
      <c r="D142" s="36"/>
      <c r="E142" s="36"/>
      <c r="F142" s="36"/>
    </row>
    <row r="143" ht="15.75" customHeight="1">
      <c r="A143" s="36"/>
      <c r="B143" s="36"/>
      <c r="C143" s="36"/>
      <c r="D143" s="36"/>
      <c r="E143" s="36"/>
      <c r="F143" s="36"/>
    </row>
    <row r="144" ht="15.75" customHeight="1">
      <c r="A144" s="36"/>
      <c r="B144" s="36"/>
      <c r="C144" s="36"/>
      <c r="D144" s="36"/>
      <c r="E144" s="36"/>
      <c r="F144" s="36"/>
    </row>
    <row r="145" ht="15.75" customHeight="1">
      <c r="A145" s="36"/>
      <c r="B145" s="36"/>
      <c r="C145" s="36"/>
      <c r="D145" s="36"/>
      <c r="E145" s="36"/>
      <c r="F145" s="36"/>
    </row>
    <row r="146" ht="15.75" customHeight="1">
      <c r="A146" s="36"/>
      <c r="B146" s="36"/>
      <c r="C146" s="36"/>
      <c r="D146" s="36"/>
      <c r="E146" s="36"/>
      <c r="F146" s="36"/>
    </row>
    <row r="147" ht="15.75" customHeight="1">
      <c r="A147" s="36"/>
      <c r="B147" s="36"/>
      <c r="C147" s="36"/>
      <c r="D147" s="36"/>
      <c r="E147" s="36"/>
      <c r="F147" s="36"/>
    </row>
    <row r="148" ht="15.75" customHeight="1">
      <c r="A148" s="36"/>
      <c r="B148" s="36"/>
      <c r="C148" s="36"/>
      <c r="D148" s="36"/>
      <c r="E148" s="36"/>
      <c r="F148" s="36"/>
    </row>
    <row r="149" ht="15.75" customHeight="1">
      <c r="A149" s="36"/>
      <c r="B149" s="36"/>
      <c r="C149" s="36"/>
      <c r="D149" s="36"/>
      <c r="E149" s="36"/>
      <c r="F149" s="36"/>
    </row>
    <row r="150" ht="15.75" customHeight="1">
      <c r="A150" s="36"/>
      <c r="B150" s="36"/>
      <c r="C150" s="36"/>
      <c r="D150" s="36"/>
      <c r="E150" s="36"/>
      <c r="F150" s="36"/>
    </row>
    <row r="151" ht="15.75" customHeight="1">
      <c r="A151" s="36"/>
      <c r="B151" s="36"/>
      <c r="C151" s="36"/>
      <c r="D151" s="36"/>
      <c r="E151" s="36"/>
      <c r="F151" s="36"/>
    </row>
    <row r="152" ht="15.75" customHeight="1">
      <c r="A152" s="36"/>
      <c r="B152" s="36"/>
      <c r="C152" s="36"/>
      <c r="D152" s="36"/>
      <c r="E152" s="36"/>
      <c r="F152" s="36"/>
    </row>
    <row r="153" ht="15.75" customHeight="1">
      <c r="A153" s="36"/>
      <c r="B153" s="36"/>
      <c r="C153" s="36"/>
      <c r="D153" s="36"/>
      <c r="E153" s="36"/>
      <c r="F153" s="36"/>
    </row>
    <row r="154" ht="15.75" customHeight="1">
      <c r="A154" s="36"/>
      <c r="B154" s="36"/>
      <c r="C154" s="36"/>
      <c r="D154" s="36"/>
      <c r="E154" s="36"/>
      <c r="F154" s="36"/>
    </row>
    <row r="155" ht="15.75" customHeight="1">
      <c r="A155" s="36"/>
      <c r="B155" s="36"/>
      <c r="C155" s="36"/>
      <c r="D155" s="36"/>
      <c r="E155" s="36"/>
      <c r="F155" s="36"/>
    </row>
    <row r="156" ht="15.75" customHeight="1">
      <c r="A156" s="36"/>
      <c r="B156" s="36"/>
      <c r="C156" s="36"/>
      <c r="D156" s="36"/>
      <c r="E156" s="36"/>
      <c r="F156" s="36"/>
    </row>
    <row r="157" ht="15.75" customHeight="1">
      <c r="A157" s="36"/>
      <c r="B157" s="36"/>
      <c r="C157" s="36"/>
      <c r="D157" s="36"/>
      <c r="E157" s="36"/>
      <c r="F157" s="36"/>
    </row>
    <row r="158" ht="15.75" customHeight="1">
      <c r="A158" s="36"/>
      <c r="B158" s="36"/>
      <c r="C158" s="36"/>
      <c r="D158" s="36"/>
      <c r="E158" s="36"/>
      <c r="F158" s="36"/>
    </row>
    <row r="159" ht="15.75" customHeight="1">
      <c r="A159" s="36"/>
      <c r="B159" s="36"/>
      <c r="C159" s="36"/>
      <c r="D159" s="36"/>
      <c r="E159" s="36"/>
      <c r="F159" s="36"/>
    </row>
    <row r="160" ht="15.75" customHeight="1">
      <c r="A160" s="36"/>
      <c r="B160" s="36"/>
      <c r="C160" s="36"/>
      <c r="D160" s="36"/>
      <c r="E160" s="36"/>
      <c r="F160" s="36"/>
    </row>
    <row r="161" ht="15.75" customHeight="1">
      <c r="A161" s="36"/>
      <c r="B161" s="36"/>
      <c r="C161" s="36"/>
      <c r="D161" s="36"/>
      <c r="E161" s="36"/>
      <c r="F161" s="36"/>
    </row>
    <row r="162" ht="15.75" customHeight="1">
      <c r="A162" s="36"/>
      <c r="B162" s="36"/>
      <c r="C162" s="36"/>
      <c r="D162" s="36"/>
      <c r="E162" s="36"/>
      <c r="F162" s="36"/>
    </row>
    <row r="163" ht="15.75" customHeight="1">
      <c r="A163" s="36"/>
      <c r="B163" s="36"/>
      <c r="C163" s="36"/>
      <c r="D163" s="36"/>
      <c r="E163" s="36"/>
      <c r="F163" s="36"/>
    </row>
    <row r="164" ht="15.75" customHeight="1">
      <c r="A164" s="36"/>
      <c r="B164" s="36"/>
      <c r="C164" s="36"/>
      <c r="D164" s="36"/>
      <c r="E164" s="36"/>
      <c r="F164" s="36"/>
    </row>
    <row r="165" ht="15.75" customHeight="1">
      <c r="A165" s="36"/>
      <c r="B165" s="36"/>
      <c r="C165" s="36"/>
      <c r="D165" s="36"/>
      <c r="E165" s="36"/>
      <c r="F165" s="36"/>
    </row>
    <row r="166" ht="15.75" customHeight="1">
      <c r="A166" s="36"/>
      <c r="B166" s="36"/>
      <c r="C166" s="36"/>
      <c r="D166" s="36"/>
      <c r="E166" s="36"/>
      <c r="F166" s="36"/>
    </row>
    <row r="167" ht="15.75" customHeight="1">
      <c r="A167" s="36"/>
      <c r="B167" s="36"/>
      <c r="C167" s="36"/>
      <c r="D167" s="36"/>
      <c r="E167" s="36"/>
      <c r="F167" s="36"/>
    </row>
    <row r="168" ht="15.75" customHeight="1">
      <c r="A168" s="36"/>
      <c r="B168" s="36"/>
      <c r="C168" s="36"/>
      <c r="D168" s="36"/>
      <c r="E168" s="36"/>
      <c r="F168" s="36"/>
    </row>
    <row r="169" ht="15.75" customHeight="1">
      <c r="A169" s="36"/>
      <c r="B169" s="36"/>
      <c r="C169" s="36"/>
      <c r="D169" s="36"/>
      <c r="E169" s="36"/>
      <c r="F169" s="36"/>
    </row>
    <row r="170" ht="15.75" customHeight="1">
      <c r="A170" s="36"/>
      <c r="B170" s="36"/>
      <c r="C170" s="36"/>
      <c r="D170" s="36"/>
      <c r="E170" s="36"/>
      <c r="F170" s="36"/>
    </row>
    <row r="171" ht="15.75" customHeight="1">
      <c r="A171" s="36"/>
      <c r="B171" s="36"/>
      <c r="C171" s="36"/>
      <c r="D171" s="36"/>
      <c r="E171" s="36"/>
      <c r="F171" s="36"/>
    </row>
    <row r="172" ht="15.75" customHeight="1">
      <c r="A172" s="36"/>
      <c r="B172" s="36"/>
      <c r="C172" s="36"/>
      <c r="D172" s="36"/>
      <c r="E172" s="36"/>
      <c r="F172" s="36"/>
    </row>
    <row r="173" ht="15.75" customHeight="1">
      <c r="A173" s="36"/>
      <c r="B173" s="36"/>
      <c r="C173" s="36"/>
      <c r="D173" s="36"/>
      <c r="E173" s="36"/>
      <c r="F173" s="36"/>
    </row>
    <row r="174" ht="15.75" customHeight="1">
      <c r="A174" s="36"/>
      <c r="B174" s="36"/>
      <c r="C174" s="36"/>
      <c r="D174" s="36"/>
      <c r="E174" s="36"/>
      <c r="F174" s="36"/>
    </row>
    <row r="175" ht="15.75" customHeight="1">
      <c r="A175" s="36"/>
      <c r="B175" s="36"/>
      <c r="C175" s="36"/>
      <c r="D175" s="36"/>
      <c r="E175" s="36"/>
      <c r="F175" s="36"/>
    </row>
    <row r="176" ht="15.75" customHeight="1">
      <c r="A176" s="36"/>
      <c r="B176" s="36"/>
      <c r="C176" s="36"/>
      <c r="D176" s="36"/>
      <c r="E176" s="36"/>
      <c r="F176" s="36"/>
    </row>
    <row r="177" ht="15.75" customHeight="1">
      <c r="A177" s="36"/>
      <c r="B177" s="36"/>
      <c r="C177" s="36"/>
      <c r="D177" s="36"/>
      <c r="E177" s="36"/>
      <c r="F177" s="36"/>
    </row>
    <row r="178" ht="15.75" customHeight="1">
      <c r="A178" s="36"/>
      <c r="B178" s="36"/>
      <c r="C178" s="36"/>
      <c r="D178" s="36"/>
      <c r="E178" s="36"/>
      <c r="F178" s="36"/>
    </row>
    <row r="179" ht="15.75" customHeight="1">
      <c r="A179" s="36"/>
      <c r="B179" s="36"/>
      <c r="C179" s="36"/>
      <c r="D179" s="36"/>
      <c r="E179" s="36"/>
      <c r="F179" s="36"/>
    </row>
    <row r="180" ht="15.75" customHeight="1">
      <c r="A180" s="36"/>
      <c r="B180" s="36"/>
      <c r="C180" s="36"/>
      <c r="D180" s="36"/>
      <c r="E180" s="36"/>
      <c r="F180" s="36"/>
    </row>
    <row r="181" ht="15.75" customHeight="1">
      <c r="A181" s="36"/>
      <c r="B181" s="36"/>
      <c r="C181" s="36"/>
      <c r="D181" s="36"/>
      <c r="E181" s="36"/>
      <c r="F181" s="36"/>
    </row>
    <row r="182" ht="15.75" customHeight="1">
      <c r="A182" s="36"/>
      <c r="B182" s="36"/>
      <c r="C182" s="36"/>
      <c r="D182" s="36"/>
      <c r="E182" s="36"/>
      <c r="F182" s="36"/>
    </row>
    <row r="183" ht="15.75" customHeight="1">
      <c r="A183" s="36"/>
      <c r="B183" s="36"/>
      <c r="C183" s="36"/>
      <c r="D183" s="36"/>
      <c r="E183" s="36"/>
      <c r="F183" s="36"/>
    </row>
    <row r="184" ht="15.75" customHeight="1">
      <c r="A184" s="36"/>
      <c r="B184" s="36"/>
      <c r="C184" s="36"/>
      <c r="D184" s="36"/>
      <c r="E184" s="36"/>
      <c r="F184" s="36"/>
    </row>
    <row r="185" ht="15.75" customHeight="1">
      <c r="A185" s="36"/>
      <c r="B185" s="36"/>
      <c r="C185" s="36"/>
      <c r="D185" s="36"/>
      <c r="E185" s="36"/>
      <c r="F185" s="36"/>
    </row>
    <row r="186" ht="15.75" customHeight="1">
      <c r="A186" s="36"/>
      <c r="B186" s="36"/>
      <c r="C186" s="36"/>
      <c r="D186" s="36"/>
      <c r="E186" s="36"/>
      <c r="F186" s="36"/>
    </row>
    <row r="187" ht="15.75" customHeight="1">
      <c r="A187" s="36"/>
      <c r="B187" s="36"/>
      <c r="C187" s="36"/>
      <c r="D187" s="36"/>
      <c r="E187" s="36"/>
      <c r="F187" s="36"/>
    </row>
    <row r="188" ht="15.75" customHeight="1">
      <c r="A188" s="36"/>
      <c r="B188" s="36"/>
      <c r="C188" s="36"/>
      <c r="D188" s="36"/>
      <c r="E188" s="36"/>
      <c r="F188" s="36"/>
    </row>
    <row r="189" ht="15.75" customHeight="1">
      <c r="A189" s="36"/>
      <c r="B189" s="36"/>
      <c r="C189" s="36"/>
      <c r="D189" s="36"/>
      <c r="E189" s="36"/>
      <c r="F189" s="36"/>
    </row>
    <row r="190" ht="15.75" customHeight="1">
      <c r="A190" s="36"/>
      <c r="B190" s="36"/>
      <c r="C190" s="36"/>
      <c r="D190" s="36"/>
      <c r="E190" s="36"/>
      <c r="F190" s="36"/>
    </row>
    <row r="191" ht="15.75" customHeight="1">
      <c r="A191" s="36"/>
      <c r="B191" s="36"/>
      <c r="C191" s="36"/>
      <c r="D191" s="36"/>
      <c r="E191" s="36"/>
      <c r="F191" s="36"/>
    </row>
    <row r="192" ht="15.75" customHeight="1">
      <c r="A192" s="36"/>
      <c r="B192" s="36"/>
      <c r="C192" s="36"/>
      <c r="D192" s="36"/>
      <c r="E192" s="36"/>
      <c r="F192" s="36"/>
    </row>
    <row r="193" ht="15.75" customHeight="1">
      <c r="A193" s="36"/>
      <c r="B193" s="36"/>
      <c r="C193" s="36"/>
      <c r="D193" s="36"/>
      <c r="E193" s="36"/>
      <c r="F193" s="36"/>
    </row>
    <row r="194" ht="15.75" customHeight="1">
      <c r="A194" s="36"/>
      <c r="B194" s="36"/>
      <c r="C194" s="36"/>
      <c r="D194" s="36"/>
      <c r="E194" s="36"/>
      <c r="F194" s="36"/>
    </row>
    <row r="195" ht="15.75" customHeight="1">
      <c r="A195" s="36"/>
      <c r="B195" s="36"/>
      <c r="C195" s="36"/>
      <c r="D195" s="36"/>
      <c r="E195" s="36"/>
      <c r="F195" s="36"/>
    </row>
    <row r="196" ht="15.75" customHeight="1">
      <c r="A196" s="36"/>
      <c r="B196" s="36"/>
      <c r="C196" s="36"/>
      <c r="D196" s="36"/>
      <c r="E196" s="36"/>
      <c r="F196" s="36"/>
    </row>
    <row r="197" ht="15.75" customHeight="1">
      <c r="A197" s="36"/>
      <c r="B197" s="36"/>
      <c r="C197" s="36"/>
      <c r="D197" s="36"/>
      <c r="E197" s="36"/>
      <c r="F197" s="36"/>
    </row>
    <row r="198" ht="15.75" customHeight="1">
      <c r="A198" s="36"/>
      <c r="B198" s="36"/>
      <c r="C198" s="36"/>
      <c r="D198" s="36"/>
      <c r="E198" s="36"/>
      <c r="F198" s="36"/>
    </row>
    <row r="199" ht="15.75" customHeight="1">
      <c r="A199" s="36"/>
      <c r="B199" s="36"/>
      <c r="C199" s="36"/>
      <c r="D199" s="36"/>
      <c r="E199" s="36"/>
      <c r="F199" s="36"/>
    </row>
    <row r="200" ht="15.75" customHeight="1">
      <c r="A200" s="36"/>
      <c r="B200" s="36"/>
      <c r="C200" s="36"/>
      <c r="D200" s="36"/>
      <c r="E200" s="36"/>
      <c r="F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26" width="8.63"/>
  </cols>
  <sheetData>
    <row r="1">
      <c r="A1" s="75" t="s">
        <v>889</v>
      </c>
      <c r="B1" s="75"/>
      <c r="C1" s="75"/>
      <c r="D1" s="75"/>
      <c r="E1" s="75"/>
      <c r="F1" s="75"/>
      <c r="G1" s="75"/>
    </row>
    <row r="2">
      <c r="A2" s="36" t="s">
        <v>91</v>
      </c>
      <c r="B2" s="36" t="s">
        <v>890</v>
      </c>
      <c r="C2" s="36" t="s">
        <v>891</v>
      </c>
      <c r="D2" s="36" t="s">
        <v>892</v>
      </c>
      <c r="E2" s="36" t="s">
        <v>893</v>
      </c>
      <c r="F2" s="36" t="s">
        <v>894</v>
      </c>
      <c r="G2" s="36" t="s">
        <v>895</v>
      </c>
    </row>
    <row r="3">
      <c r="A3" s="36" t="s">
        <v>826</v>
      </c>
      <c r="B3" s="36">
        <v>178.0</v>
      </c>
      <c r="C3" s="36">
        <v>0.089</v>
      </c>
      <c r="D3" s="36">
        <v>94.9</v>
      </c>
      <c r="E3" s="36">
        <v>123.0</v>
      </c>
      <c r="F3" s="36">
        <v>92.7</v>
      </c>
      <c r="G3" s="36">
        <v>37.1</v>
      </c>
    </row>
    <row r="4">
      <c r="A4" s="36" t="s">
        <v>833</v>
      </c>
      <c r="B4" s="36">
        <v>595.0</v>
      </c>
      <c r="C4" s="36">
        <v>0.225</v>
      </c>
      <c r="D4" s="36">
        <v>78.2</v>
      </c>
      <c r="E4" s="36">
        <v>515.0</v>
      </c>
      <c r="F4" s="36">
        <v>75.0</v>
      </c>
      <c r="G4" s="36">
        <v>46.1</v>
      </c>
    </row>
    <row r="5">
      <c r="A5" s="36" t="s">
        <v>834</v>
      </c>
      <c r="B5" s="36">
        <v>335.0</v>
      </c>
      <c r="C5" s="36">
        <v>4.398</v>
      </c>
      <c r="D5" s="36">
        <v>82.4</v>
      </c>
      <c r="E5" s="36">
        <v>330.0</v>
      </c>
      <c r="F5" s="36">
        <v>82.1</v>
      </c>
      <c r="G5" s="36">
        <v>14.6</v>
      </c>
    </row>
    <row r="6">
      <c r="A6" s="36" t="s">
        <v>835</v>
      </c>
      <c r="B6" s="36">
        <v>595.0</v>
      </c>
      <c r="C6" s="36">
        <v>0.172</v>
      </c>
      <c r="D6" s="36">
        <v>77.8</v>
      </c>
      <c r="E6" s="36">
        <v>474.0</v>
      </c>
      <c r="F6" s="36">
        <v>73.6</v>
      </c>
      <c r="G6" s="36">
        <v>45.9</v>
      </c>
    </row>
    <row r="7">
      <c r="A7" s="36" t="s">
        <v>836</v>
      </c>
      <c r="B7" s="36">
        <v>178.0</v>
      </c>
      <c r="C7" s="36">
        <v>0.091</v>
      </c>
      <c r="D7" s="36">
        <v>93.8</v>
      </c>
      <c r="E7" s="36">
        <v>114.0</v>
      </c>
      <c r="F7" s="36">
        <v>90.4</v>
      </c>
      <c r="G7" s="36">
        <v>39.9</v>
      </c>
    </row>
    <row r="8">
      <c r="A8" s="36" t="s">
        <v>838</v>
      </c>
      <c r="B8" s="36">
        <v>178.0</v>
      </c>
      <c r="C8" s="36">
        <v>0.0</v>
      </c>
      <c r="D8" s="36">
        <v>97.2</v>
      </c>
      <c r="E8" s="36">
        <v>40.0</v>
      </c>
      <c r="F8" s="36">
        <v>90.0</v>
      </c>
      <c r="G8" s="36">
        <v>28.7</v>
      </c>
    </row>
    <row r="9">
      <c r="A9" s="36" t="s">
        <v>839</v>
      </c>
      <c r="B9" s="36">
        <v>178.0</v>
      </c>
      <c r="C9" s="36">
        <v>0.045</v>
      </c>
      <c r="D9" s="36">
        <v>93.8</v>
      </c>
      <c r="E9" s="36">
        <v>84.0</v>
      </c>
      <c r="F9" s="36">
        <v>91.7</v>
      </c>
      <c r="G9" s="36">
        <v>43.8</v>
      </c>
    </row>
    <row r="10">
      <c r="A10" s="36" t="s">
        <v>840</v>
      </c>
      <c r="B10" s="36">
        <v>595.0</v>
      </c>
      <c r="C10" s="36">
        <v>0.404</v>
      </c>
      <c r="D10" s="36">
        <v>78.3</v>
      </c>
      <c r="E10" s="36">
        <v>553.0</v>
      </c>
      <c r="F10" s="36">
        <v>76.9</v>
      </c>
      <c r="G10" s="36">
        <v>45.0</v>
      </c>
    </row>
    <row r="11">
      <c r="A11" s="36"/>
      <c r="B11" s="36"/>
      <c r="C11" s="36"/>
      <c r="D11" s="36"/>
      <c r="E11" s="36"/>
      <c r="F11" s="36"/>
      <c r="G11" s="36"/>
    </row>
    <row r="12">
      <c r="A12" s="36"/>
      <c r="B12" s="36"/>
      <c r="C12" s="36"/>
      <c r="D12" s="36"/>
      <c r="E12" s="36"/>
      <c r="F12" s="36"/>
      <c r="G12" s="36"/>
    </row>
    <row r="13">
      <c r="A13" s="36"/>
      <c r="B13" s="36"/>
      <c r="C13" s="36"/>
      <c r="D13" s="36"/>
      <c r="E13" s="36"/>
      <c r="F13" s="36"/>
      <c r="G13" s="36"/>
    </row>
    <row r="14">
      <c r="A14" s="36"/>
      <c r="B14" s="36"/>
      <c r="C14" s="36"/>
      <c r="D14" s="36"/>
      <c r="E14" s="36"/>
      <c r="F14" s="36"/>
      <c r="G14" s="36"/>
    </row>
    <row r="15">
      <c r="A15" s="36"/>
      <c r="B15" s="36"/>
      <c r="C15" s="36"/>
      <c r="D15" s="36"/>
      <c r="E15" s="36"/>
      <c r="F15" s="36"/>
      <c r="G15" s="36"/>
    </row>
    <row r="16">
      <c r="A16" s="36"/>
      <c r="B16" s="36"/>
      <c r="C16" s="36"/>
      <c r="D16" s="36"/>
      <c r="E16" s="36"/>
      <c r="F16" s="36"/>
      <c r="G16" s="36"/>
    </row>
    <row r="17">
      <c r="A17" s="36"/>
      <c r="B17" s="36"/>
      <c r="C17" s="36"/>
      <c r="D17" s="36"/>
      <c r="E17" s="36"/>
      <c r="F17" s="36"/>
      <c r="G17" s="36"/>
    </row>
    <row r="18">
      <c r="A18" s="36"/>
      <c r="B18" s="36"/>
      <c r="C18" s="36"/>
      <c r="D18" s="36"/>
      <c r="E18" s="36"/>
      <c r="F18" s="36"/>
      <c r="G18" s="36"/>
    </row>
    <row r="19">
      <c r="A19" s="36"/>
      <c r="B19" s="36"/>
      <c r="C19" s="36"/>
      <c r="D19" s="36"/>
      <c r="E19" s="36"/>
      <c r="F19" s="36"/>
      <c r="G19" s="36"/>
    </row>
    <row r="20">
      <c r="A20" s="36"/>
      <c r="B20" s="36"/>
      <c r="C20" s="36"/>
      <c r="D20" s="36"/>
      <c r="E20" s="36"/>
      <c r="F20" s="36"/>
      <c r="G20" s="36"/>
    </row>
    <row r="21" ht="15.75" customHeight="1">
      <c r="A21" s="36"/>
      <c r="B21" s="36"/>
      <c r="C21" s="36"/>
      <c r="D21" s="36"/>
      <c r="E21" s="36"/>
      <c r="F21" s="36"/>
      <c r="G21" s="36"/>
    </row>
    <row r="22" ht="15.75" customHeight="1">
      <c r="A22" s="36"/>
      <c r="B22" s="36"/>
      <c r="C22" s="36"/>
      <c r="D22" s="36"/>
      <c r="E22" s="36"/>
      <c r="F22" s="36"/>
      <c r="G22" s="36"/>
    </row>
    <row r="23" ht="15.75" customHeight="1">
      <c r="A23" s="36"/>
      <c r="B23" s="36"/>
      <c r="C23" s="36"/>
      <c r="D23" s="36"/>
      <c r="E23" s="36"/>
      <c r="F23" s="36"/>
      <c r="G23" s="36"/>
    </row>
    <row r="24" ht="15.75" customHeight="1">
      <c r="A24" s="36"/>
      <c r="B24" s="36"/>
      <c r="C24" s="36"/>
      <c r="D24" s="36"/>
      <c r="E24" s="36"/>
      <c r="F24" s="36"/>
      <c r="G24" s="36"/>
    </row>
    <row r="25" ht="15.75" customHeight="1">
      <c r="A25" s="36"/>
      <c r="B25" s="36"/>
      <c r="C25" s="36"/>
      <c r="D25" s="36"/>
      <c r="E25" s="36"/>
      <c r="F25" s="36"/>
      <c r="G25" s="36"/>
    </row>
    <row r="26" ht="15.75" customHeight="1">
      <c r="A26" s="36"/>
      <c r="B26" s="36"/>
      <c r="C26" s="36"/>
      <c r="D26" s="36"/>
      <c r="E26" s="36"/>
      <c r="F26" s="36"/>
      <c r="G26" s="36"/>
    </row>
    <row r="27" ht="15.75" customHeight="1">
      <c r="A27" s="36"/>
      <c r="B27" s="36"/>
      <c r="C27" s="36"/>
      <c r="D27" s="36"/>
      <c r="E27" s="36"/>
      <c r="F27" s="36"/>
      <c r="G27" s="36"/>
    </row>
    <row r="28" ht="15.75" customHeight="1">
      <c r="A28" s="36"/>
      <c r="B28" s="36"/>
      <c r="C28" s="36"/>
      <c r="D28" s="36"/>
      <c r="E28" s="36"/>
      <c r="F28" s="36"/>
      <c r="G28" s="36"/>
    </row>
    <row r="29" ht="15.75" customHeight="1">
      <c r="A29" s="36"/>
      <c r="B29" s="36"/>
      <c r="C29" s="36"/>
      <c r="D29" s="36"/>
      <c r="E29" s="36"/>
      <c r="F29" s="36"/>
      <c r="G29" s="36"/>
    </row>
    <row r="30" ht="15.75" customHeight="1">
      <c r="A30" s="36"/>
      <c r="B30" s="36"/>
      <c r="C30" s="36"/>
      <c r="D30" s="36"/>
      <c r="E30" s="36"/>
      <c r="F30" s="36"/>
      <c r="G30" s="36"/>
    </row>
    <row r="31" ht="15.75" customHeight="1">
      <c r="A31" s="36"/>
      <c r="B31" s="36"/>
      <c r="C31" s="36"/>
      <c r="D31" s="36"/>
      <c r="E31" s="36"/>
      <c r="F31" s="36"/>
      <c r="G31" s="36"/>
    </row>
    <row r="32" ht="15.75" customHeight="1">
      <c r="A32" s="36"/>
      <c r="B32" s="36"/>
      <c r="C32" s="36"/>
      <c r="D32" s="36"/>
      <c r="E32" s="36"/>
      <c r="F32" s="36"/>
      <c r="G32" s="36"/>
    </row>
    <row r="33" ht="15.75" customHeight="1">
      <c r="A33" s="36"/>
      <c r="B33" s="36"/>
      <c r="C33" s="36"/>
      <c r="D33" s="36"/>
      <c r="E33" s="36"/>
      <c r="F33" s="36"/>
      <c r="G33" s="36"/>
    </row>
    <row r="34" ht="15.75" customHeight="1">
      <c r="A34" s="36"/>
      <c r="B34" s="36"/>
      <c r="C34" s="36"/>
      <c r="D34" s="36"/>
      <c r="E34" s="36"/>
      <c r="F34" s="36"/>
      <c r="G34" s="36"/>
    </row>
    <row r="35" ht="15.75" customHeight="1">
      <c r="A35" s="36"/>
      <c r="B35" s="36"/>
      <c r="C35" s="36"/>
      <c r="D35" s="36"/>
      <c r="E35" s="36"/>
      <c r="F35" s="36"/>
      <c r="G35" s="36"/>
    </row>
    <row r="36" ht="15.75" customHeight="1">
      <c r="A36" s="36"/>
      <c r="B36" s="36"/>
      <c r="C36" s="36"/>
      <c r="D36" s="36"/>
      <c r="E36" s="36"/>
      <c r="F36" s="36"/>
      <c r="G36" s="36"/>
    </row>
    <row r="37" ht="15.75" customHeight="1">
      <c r="A37" s="36"/>
      <c r="B37" s="36"/>
      <c r="C37" s="36"/>
      <c r="D37" s="36"/>
      <c r="E37" s="36"/>
      <c r="F37" s="36"/>
      <c r="G37" s="36"/>
    </row>
    <row r="38" ht="15.75" customHeight="1">
      <c r="A38" s="36"/>
      <c r="B38" s="36"/>
      <c r="C38" s="36"/>
      <c r="D38" s="36"/>
      <c r="E38" s="36"/>
      <c r="F38" s="36"/>
      <c r="G38" s="36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36"/>
      <c r="B185" s="36"/>
      <c r="C185" s="36"/>
      <c r="D185" s="36"/>
      <c r="E185" s="36"/>
      <c r="F185" s="36"/>
      <c r="G185" s="36"/>
    </row>
    <row r="186" ht="15.75" customHeight="1">
      <c r="A186" s="36"/>
      <c r="B186" s="36"/>
      <c r="C186" s="36"/>
      <c r="D186" s="36"/>
      <c r="E186" s="36"/>
      <c r="F186" s="36"/>
      <c r="G186" s="36"/>
    </row>
    <row r="187" ht="15.75" customHeight="1">
      <c r="A187" s="36"/>
      <c r="B187" s="36"/>
      <c r="C187" s="36"/>
      <c r="D187" s="36"/>
      <c r="E187" s="36"/>
      <c r="F187" s="36"/>
      <c r="G187" s="36"/>
    </row>
    <row r="188" ht="15.75" customHeight="1">
      <c r="A188" s="36"/>
      <c r="B188" s="36"/>
      <c r="C188" s="36"/>
      <c r="D188" s="36"/>
      <c r="E188" s="36"/>
      <c r="F188" s="36"/>
      <c r="G188" s="36"/>
    </row>
    <row r="189" ht="15.75" customHeight="1">
      <c r="A189" s="36"/>
      <c r="B189" s="36"/>
      <c r="C189" s="36"/>
      <c r="D189" s="36"/>
      <c r="E189" s="36"/>
      <c r="F189" s="36"/>
      <c r="G189" s="36"/>
    </row>
    <row r="190" ht="15.75" customHeight="1">
      <c r="A190" s="36"/>
      <c r="B190" s="36"/>
      <c r="C190" s="36"/>
      <c r="D190" s="36"/>
      <c r="E190" s="36"/>
      <c r="F190" s="36"/>
      <c r="G190" s="36"/>
    </row>
    <row r="191" ht="15.75" customHeight="1">
      <c r="A191" s="36"/>
      <c r="B191" s="36"/>
      <c r="C191" s="36"/>
      <c r="D191" s="36"/>
      <c r="E191" s="36"/>
      <c r="F191" s="36"/>
      <c r="G191" s="36"/>
    </row>
    <row r="192" ht="15.75" customHeight="1">
      <c r="A192" s="36"/>
      <c r="B192" s="36"/>
      <c r="C192" s="36"/>
      <c r="D192" s="36"/>
      <c r="E192" s="36"/>
      <c r="F192" s="36"/>
      <c r="G192" s="36"/>
    </row>
    <row r="193" ht="15.75" customHeight="1">
      <c r="A193" s="36"/>
      <c r="B193" s="36"/>
      <c r="C193" s="36"/>
      <c r="D193" s="36"/>
      <c r="E193" s="36"/>
      <c r="F193" s="36"/>
      <c r="G193" s="36"/>
    </row>
    <row r="194" ht="15.75" customHeight="1">
      <c r="A194" s="36"/>
      <c r="B194" s="36"/>
      <c r="C194" s="36"/>
      <c r="D194" s="36"/>
      <c r="E194" s="36"/>
      <c r="F194" s="36"/>
      <c r="G194" s="36"/>
    </row>
    <row r="195" ht="15.75" customHeight="1">
      <c r="A195" s="36"/>
      <c r="B195" s="36"/>
      <c r="C195" s="36"/>
      <c r="D195" s="36"/>
      <c r="E195" s="36"/>
      <c r="F195" s="36"/>
      <c r="G195" s="36"/>
    </row>
    <row r="196" ht="15.75" customHeight="1">
      <c r="A196" s="36"/>
      <c r="B196" s="36"/>
      <c r="C196" s="36"/>
      <c r="D196" s="36"/>
      <c r="E196" s="36"/>
      <c r="F196" s="36"/>
      <c r="G196" s="36"/>
    </row>
    <row r="197" ht="15.75" customHeight="1">
      <c r="A197" s="36"/>
      <c r="B197" s="36"/>
      <c r="C197" s="36"/>
      <c r="D197" s="36"/>
      <c r="E197" s="36"/>
      <c r="F197" s="36"/>
      <c r="G197" s="36"/>
    </row>
    <row r="198" ht="15.75" customHeight="1">
      <c r="A198" s="36"/>
      <c r="B198" s="36"/>
      <c r="C198" s="36"/>
      <c r="D198" s="36"/>
      <c r="E198" s="36"/>
      <c r="F198" s="36"/>
      <c r="G198" s="36"/>
    </row>
    <row r="199" ht="15.75" customHeight="1">
      <c r="A199" s="36"/>
      <c r="B199" s="36"/>
      <c r="C199" s="36"/>
      <c r="D199" s="36"/>
      <c r="E199" s="36"/>
      <c r="F199" s="36"/>
      <c r="G199" s="36"/>
    </row>
    <row r="200" ht="15.75" customHeight="1">
      <c r="A200" s="36"/>
      <c r="B200" s="36"/>
      <c r="C200" s="36"/>
      <c r="D200" s="36"/>
      <c r="E200" s="36"/>
      <c r="F200" s="36"/>
      <c r="G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6" width="36.0"/>
    <col customWidth="1" min="7" max="7" width="46.0"/>
    <col customWidth="1" min="8" max="26" width="8.63"/>
  </cols>
  <sheetData>
    <row r="1">
      <c r="A1" s="75" t="s">
        <v>896</v>
      </c>
      <c r="B1" s="75"/>
      <c r="C1" s="75"/>
      <c r="D1" s="75"/>
      <c r="E1" s="75"/>
      <c r="F1" s="75"/>
      <c r="G1" s="75"/>
    </row>
    <row r="2">
      <c r="A2" s="36" t="s">
        <v>91</v>
      </c>
      <c r="B2" s="36" t="s">
        <v>832</v>
      </c>
      <c r="C2" s="36" t="s">
        <v>897</v>
      </c>
      <c r="D2" s="36" t="s">
        <v>898</v>
      </c>
      <c r="E2" s="36" t="s">
        <v>899</v>
      </c>
      <c r="F2" s="36" t="s">
        <v>900</v>
      </c>
      <c r="G2" s="36" t="s">
        <v>901</v>
      </c>
    </row>
    <row r="3">
      <c r="A3" s="36" t="s">
        <v>826</v>
      </c>
      <c r="B3" s="36">
        <v>83.0</v>
      </c>
      <c r="C3" s="36">
        <v>46.4</v>
      </c>
      <c r="D3" s="36">
        <v>59.0</v>
      </c>
      <c r="E3" s="36">
        <v>0.54</v>
      </c>
      <c r="F3" s="36">
        <v>2.95</v>
      </c>
      <c r="G3" s="36">
        <v>2.58</v>
      </c>
    </row>
    <row r="4">
      <c r="A4" s="36" t="s">
        <v>833</v>
      </c>
      <c r="B4" s="36">
        <v>284.0</v>
      </c>
      <c r="C4" s="36">
        <v>47.7</v>
      </c>
      <c r="D4" s="36">
        <v>49.6</v>
      </c>
      <c r="E4" s="36">
        <v>0.35</v>
      </c>
      <c r="F4" s="36">
        <v>3.42</v>
      </c>
      <c r="G4" s="36">
        <v>2.35</v>
      </c>
    </row>
    <row r="5">
      <c r="A5" s="36" t="s">
        <v>834</v>
      </c>
      <c r="B5" s="36">
        <v>160.0</v>
      </c>
      <c r="C5" s="36">
        <v>47.6</v>
      </c>
      <c r="D5" s="36">
        <v>51.2</v>
      </c>
      <c r="E5" s="36">
        <v>-4.19</v>
      </c>
      <c r="F5" s="36">
        <v>27.42</v>
      </c>
      <c r="G5" s="36">
        <v>20.18</v>
      </c>
    </row>
    <row r="6">
      <c r="A6" s="36" t="s">
        <v>835</v>
      </c>
      <c r="B6" s="36">
        <v>282.0</v>
      </c>
      <c r="C6" s="36">
        <v>47.3</v>
      </c>
      <c r="D6" s="36">
        <v>48.9</v>
      </c>
      <c r="E6" s="36">
        <v>0.28</v>
      </c>
      <c r="F6" s="36">
        <v>3.24</v>
      </c>
      <c r="G6" s="36">
        <v>2.38</v>
      </c>
    </row>
    <row r="7">
      <c r="A7" s="36" t="s">
        <v>836</v>
      </c>
      <c r="B7" s="36">
        <v>84.0</v>
      </c>
      <c r="C7" s="36">
        <v>46.9</v>
      </c>
      <c r="D7" s="36">
        <v>51.2</v>
      </c>
      <c r="E7" s="36">
        <v>1.09</v>
      </c>
      <c r="F7" s="36">
        <v>8.59</v>
      </c>
      <c r="G7" s="36">
        <v>6.21</v>
      </c>
    </row>
    <row r="8">
      <c r="A8" s="36" t="s">
        <v>838</v>
      </c>
      <c r="B8" s="36">
        <v>85.0</v>
      </c>
      <c r="C8" s="36">
        <v>47.5</v>
      </c>
      <c r="D8" s="36">
        <v>49.4</v>
      </c>
      <c r="E8" s="36">
        <v>1.6</v>
      </c>
      <c r="F8" s="36">
        <v>8.42</v>
      </c>
      <c r="G8" s="36">
        <v>5.99</v>
      </c>
    </row>
    <row r="9">
      <c r="A9" s="36" t="s">
        <v>839</v>
      </c>
      <c r="B9" s="36">
        <v>85.0</v>
      </c>
      <c r="C9" s="36">
        <v>47.5</v>
      </c>
      <c r="D9" s="36">
        <v>54.1</v>
      </c>
      <c r="E9" s="36">
        <v>0.69</v>
      </c>
      <c r="F9" s="36">
        <v>4.37</v>
      </c>
      <c r="G9" s="36">
        <v>3.18</v>
      </c>
    </row>
    <row r="10">
      <c r="A10" s="36" t="s">
        <v>840</v>
      </c>
      <c r="B10" s="36">
        <v>291.0</v>
      </c>
      <c r="C10" s="36">
        <v>48.8</v>
      </c>
      <c r="D10" s="36">
        <v>51.5</v>
      </c>
      <c r="E10" s="36">
        <v>0.62</v>
      </c>
      <c r="F10" s="36">
        <v>4.33</v>
      </c>
      <c r="G10" s="36">
        <v>3.34</v>
      </c>
    </row>
    <row r="11">
      <c r="A11" s="36"/>
      <c r="B11" s="36"/>
      <c r="C11" s="36"/>
      <c r="D11" s="36"/>
      <c r="E11" s="36"/>
      <c r="F11" s="36"/>
      <c r="G11" s="36"/>
    </row>
    <row r="12">
      <c r="A12" s="36"/>
      <c r="B12" s="36"/>
      <c r="C12" s="36"/>
      <c r="D12" s="36"/>
      <c r="E12" s="36"/>
      <c r="F12" s="36"/>
      <c r="G12" s="36"/>
    </row>
    <row r="13">
      <c r="A13" s="36"/>
      <c r="B13" s="36"/>
      <c r="C13" s="36"/>
      <c r="D13" s="36"/>
      <c r="E13" s="36"/>
      <c r="F13" s="36"/>
      <c r="G13" s="36"/>
    </row>
    <row r="14">
      <c r="A14" s="36"/>
      <c r="B14" s="36"/>
      <c r="C14" s="36"/>
      <c r="D14" s="36"/>
      <c r="E14" s="36"/>
      <c r="F14" s="36"/>
      <c r="G14" s="36"/>
    </row>
    <row r="15">
      <c r="A15" s="36"/>
      <c r="B15" s="36"/>
      <c r="C15" s="36"/>
      <c r="D15" s="36"/>
      <c r="E15" s="36"/>
      <c r="F15" s="36"/>
      <c r="G15" s="36"/>
    </row>
    <row r="16">
      <c r="A16" s="36"/>
      <c r="B16" s="36"/>
      <c r="C16" s="36"/>
      <c r="D16" s="36"/>
      <c r="E16" s="36"/>
      <c r="F16" s="36"/>
      <c r="G16" s="36"/>
    </row>
    <row r="17">
      <c r="A17" s="36"/>
      <c r="B17" s="36"/>
      <c r="C17" s="36"/>
      <c r="D17" s="36"/>
      <c r="E17" s="36"/>
      <c r="F17" s="36"/>
      <c r="G17" s="36"/>
    </row>
    <row r="18">
      <c r="A18" s="36"/>
      <c r="B18" s="36"/>
      <c r="C18" s="36"/>
      <c r="D18" s="36"/>
      <c r="E18" s="36"/>
      <c r="F18" s="36"/>
      <c r="G18" s="36"/>
    </row>
    <row r="19">
      <c r="A19" s="36"/>
      <c r="B19" s="36"/>
      <c r="C19" s="36"/>
      <c r="D19" s="36"/>
      <c r="E19" s="36"/>
      <c r="F19" s="36"/>
      <c r="G19" s="36"/>
    </row>
    <row r="20">
      <c r="A20" s="36"/>
      <c r="B20" s="36"/>
      <c r="C20" s="36"/>
      <c r="D20" s="36"/>
      <c r="E20" s="36"/>
      <c r="F20" s="36"/>
      <c r="G20" s="36"/>
    </row>
    <row r="21" ht="15.75" customHeight="1">
      <c r="A21" s="36"/>
      <c r="B21" s="36"/>
      <c r="C21" s="36"/>
      <c r="D21" s="36"/>
      <c r="E21" s="36"/>
      <c r="F21" s="36"/>
      <c r="G21" s="36"/>
    </row>
    <row r="22" ht="15.75" customHeight="1">
      <c r="A22" s="36"/>
      <c r="B22" s="36"/>
      <c r="C22" s="36"/>
      <c r="D22" s="36"/>
      <c r="E22" s="36"/>
      <c r="F22" s="36"/>
      <c r="G22" s="36"/>
    </row>
    <row r="23" ht="15.75" customHeight="1">
      <c r="A23" s="36"/>
      <c r="B23" s="36"/>
      <c r="C23" s="36"/>
      <c r="D23" s="36"/>
      <c r="E23" s="36"/>
      <c r="F23" s="36"/>
      <c r="G23" s="36"/>
    </row>
    <row r="24" ht="15.75" customHeight="1">
      <c r="A24" s="36"/>
      <c r="B24" s="36"/>
      <c r="C24" s="36"/>
      <c r="D24" s="36"/>
      <c r="E24" s="36"/>
      <c r="F24" s="36"/>
      <c r="G24" s="36"/>
    </row>
    <row r="25" ht="15.75" customHeight="1">
      <c r="A25" s="36"/>
      <c r="B25" s="36"/>
      <c r="C25" s="36"/>
      <c r="D25" s="36"/>
      <c r="E25" s="36"/>
      <c r="F25" s="36"/>
      <c r="G25" s="36"/>
    </row>
    <row r="26" ht="15.75" customHeight="1">
      <c r="A26" s="36"/>
      <c r="B26" s="36"/>
      <c r="C26" s="36"/>
      <c r="D26" s="36"/>
      <c r="E26" s="36"/>
      <c r="F26" s="36"/>
      <c r="G26" s="36"/>
    </row>
    <row r="27" ht="15.75" customHeight="1">
      <c r="A27" s="36"/>
      <c r="B27" s="36"/>
      <c r="C27" s="36"/>
      <c r="D27" s="36"/>
      <c r="E27" s="36"/>
      <c r="F27" s="36"/>
      <c r="G27" s="36"/>
    </row>
    <row r="28" ht="15.75" customHeight="1">
      <c r="A28" s="36"/>
      <c r="B28" s="36"/>
      <c r="C28" s="36"/>
      <c r="D28" s="36"/>
      <c r="E28" s="36"/>
      <c r="F28" s="36"/>
      <c r="G28" s="36"/>
    </row>
    <row r="29" ht="15.75" customHeight="1">
      <c r="A29" s="36"/>
      <c r="B29" s="36"/>
      <c r="C29" s="36"/>
      <c r="D29" s="36"/>
      <c r="E29" s="36"/>
      <c r="F29" s="36"/>
      <c r="G29" s="36"/>
    </row>
    <row r="30" ht="15.75" customHeight="1">
      <c r="A30" s="36"/>
      <c r="B30" s="36"/>
      <c r="C30" s="36"/>
      <c r="D30" s="36"/>
      <c r="E30" s="36"/>
      <c r="F30" s="36"/>
      <c r="G30" s="36"/>
    </row>
    <row r="31" ht="15.75" customHeight="1">
      <c r="A31" s="36"/>
      <c r="B31" s="36"/>
      <c r="C31" s="36"/>
      <c r="D31" s="36"/>
      <c r="E31" s="36"/>
      <c r="F31" s="36"/>
      <c r="G31" s="36"/>
    </row>
    <row r="32" ht="15.75" customHeight="1">
      <c r="A32" s="36"/>
      <c r="B32" s="36"/>
      <c r="C32" s="36"/>
      <c r="D32" s="36"/>
      <c r="E32" s="36"/>
      <c r="F32" s="36"/>
      <c r="G32" s="36"/>
    </row>
    <row r="33" ht="15.75" customHeight="1">
      <c r="A33" s="36"/>
      <c r="B33" s="36"/>
      <c r="C33" s="36"/>
      <c r="D33" s="36"/>
      <c r="E33" s="36"/>
      <c r="F33" s="36"/>
      <c r="G33" s="36"/>
    </row>
    <row r="34" ht="15.75" customHeight="1">
      <c r="A34" s="36"/>
      <c r="B34" s="36"/>
      <c r="C34" s="36"/>
      <c r="D34" s="36"/>
      <c r="E34" s="36"/>
      <c r="F34" s="36"/>
      <c r="G34" s="36"/>
    </row>
    <row r="35" ht="15.75" customHeight="1">
      <c r="A35" s="36"/>
      <c r="B35" s="36"/>
      <c r="C35" s="36"/>
      <c r="D35" s="36"/>
      <c r="E35" s="36"/>
      <c r="F35" s="36"/>
      <c r="G35" s="36"/>
    </row>
    <row r="36" ht="15.75" customHeight="1">
      <c r="A36" s="36"/>
      <c r="B36" s="36"/>
      <c r="C36" s="36"/>
      <c r="D36" s="36"/>
      <c r="E36" s="36"/>
      <c r="F36" s="36"/>
      <c r="G36" s="36"/>
    </row>
    <row r="37" ht="15.75" customHeight="1">
      <c r="A37" s="36"/>
      <c r="B37" s="36"/>
      <c r="C37" s="36"/>
      <c r="D37" s="36"/>
      <c r="E37" s="36"/>
      <c r="F37" s="36"/>
      <c r="G37" s="36"/>
    </row>
    <row r="38" ht="15.75" customHeight="1">
      <c r="A38" s="36"/>
      <c r="B38" s="36"/>
      <c r="C38" s="36"/>
      <c r="D38" s="36"/>
      <c r="E38" s="36"/>
      <c r="F38" s="36"/>
      <c r="G38" s="36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36"/>
      <c r="B185" s="36"/>
      <c r="C185" s="36"/>
      <c r="D185" s="36"/>
      <c r="E185" s="36"/>
      <c r="F185" s="36"/>
      <c r="G185" s="36"/>
    </row>
    <row r="186" ht="15.75" customHeight="1">
      <c r="A186" s="36"/>
      <c r="B186" s="36"/>
      <c r="C186" s="36"/>
      <c r="D186" s="36"/>
      <c r="E186" s="36"/>
      <c r="F186" s="36"/>
      <c r="G186" s="36"/>
    </row>
    <row r="187" ht="15.75" customHeight="1">
      <c r="A187" s="36"/>
      <c r="B187" s="36"/>
      <c r="C187" s="36"/>
      <c r="D187" s="36"/>
      <c r="E187" s="36"/>
      <c r="F187" s="36"/>
      <c r="G187" s="36"/>
    </row>
    <row r="188" ht="15.75" customHeight="1">
      <c r="A188" s="36"/>
      <c r="B188" s="36"/>
      <c r="C188" s="36"/>
      <c r="D188" s="36"/>
      <c r="E188" s="36"/>
      <c r="F188" s="36"/>
      <c r="G188" s="36"/>
    </row>
    <row r="189" ht="15.75" customHeight="1">
      <c r="A189" s="36"/>
      <c r="B189" s="36"/>
      <c r="C189" s="36"/>
      <c r="D189" s="36"/>
      <c r="E189" s="36"/>
      <c r="F189" s="36"/>
      <c r="G189" s="36"/>
    </row>
    <row r="190" ht="15.75" customHeight="1">
      <c r="A190" s="36"/>
      <c r="B190" s="36"/>
      <c r="C190" s="36"/>
      <c r="D190" s="36"/>
      <c r="E190" s="36"/>
      <c r="F190" s="36"/>
      <c r="G190" s="36"/>
    </row>
    <row r="191" ht="15.75" customHeight="1">
      <c r="A191" s="36"/>
      <c r="B191" s="36"/>
      <c r="C191" s="36"/>
      <c r="D191" s="36"/>
      <c r="E191" s="36"/>
      <c r="F191" s="36"/>
      <c r="G191" s="36"/>
    </row>
    <row r="192" ht="15.75" customHeight="1">
      <c r="A192" s="36"/>
      <c r="B192" s="36"/>
      <c r="C192" s="36"/>
      <c r="D192" s="36"/>
      <c r="E192" s="36"/>
      <c r="F192" s="36"/>
      <c r="G192" s="36"/>
    </row>
    <row r="193" ht="15.75" customHeight="1">
      <c r="A193" s="36"/>
      <c r="B193" s="36"/>
      <c r="C193" s="36"/>
      <c r="D193" s="36"/>
      <c r="E193" s="36"/>
      <c r="F193" s="36"/>
      <c r="G193" s="36"/>
    </row>
    <row r="194" ht="15.75" customHeight="1">
      <c r="A194" s="36"/>
      <c r="B194" s="36"/>
      <c r="C194" s="36"/>
      <c r="D194" s="36"/>
      <c r="E194" s="36"/>
      <c r="F194" s="36"/>
      <c r="G194" s="36"/>
    </row>
    <row r="195" ht="15.75" customHeight="1">
      <c r="A195" s="36"/>
      <c r="B195" s="36"/>
      <c r="C195" s="36"/>
      <c r="D195" s="36"/>
      <c r="E195" s="36"/>
      <c r="F195" s="36"/>
      <c r="G195" s="36"/>
    </row>
    <row r="196" ht="15.75" customHeight="1">
      <c r="A196" s="36"/>
      <c r="B196" s="36"/>
      <c r="C196" s="36"/>
      <c r="D196" s="36"/>
      <c r="E196" s="36"/>
      <c r="F196" s="36"/>
      <c r="G196" s="36"/>
    </row>
    <row r="197" ht="15.75" customHeight="1">
      <c r="A197" s="36"/>
      <c r="B197" s="36"/>
      <c r="C197" s="36"/>
      <c r="D197" s="36"/>
      <c r="E197" s="36"/>
      <c r="F197" s="36"/>
      <c r="G197" s="36"/>
    </row>
    <row r="198" ht="15.75" customHeight="1">
      <c r="A198" s="36"/>
      <c r="B198" s="36"/>
      <c r="C198" s="36"/>
      <c r="D198" s="36"/>
      <c r="E198" s="36"/>
      <c r="F198" s="36"/>
      <c r="G198" s="36"/>
    </row>
    <row r="199" ht="15.75" customHeight="1">
      <c r="A199" s="36"/>
      <c r="B199" s="36"/>
      <c r="C199" s="36"/>
      <c r="D199" s="36"/>
      <c r="E199" s="36"/>
      <c r="F199" s="36"/>
      <c r="G199" s="36"/>
    </row>
    <row r="200" ht="15.75" customHeight="1">
      <c r="A200" s="36"/>
      <c r="B200" s="36"/>
      <c r="C200" s="36"/>
      <c r="D200" s="36"/>
      <c r="E200" s="36"/>
      <c r="F200" s="36"/>
      <c r="G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26" width="8.63"/>
  </cols>
  <sheetData>
    <row r="1">
      <c r="A1" s="75" t="s">
        <v>902</v>
      </c>
      <c r="B1" s="75"/>
      <c r="C1" s="75"/>
      <c r="D1" s="75"/>
      <c r="E1" s="75"/>
    </row>
    <row r="2">
      <c r="A2" s="36" t="s">
        <v>91</v>
      </c>
      <c r="B2" s="36" t="s">
        <v>823</v>
      </c>
      <c r="C2" s="36" t="s">
        <v>824</v>
      </c>
      <c r="D2" s="36" t="s">
        <v>825</v>
      </c>
      <c r="E2" s="36" t="s">
        <v>903</v>
      </c>
    </row>
    <row r="3">
      <c r="A3" s="36" t="s">
        <v>826</v>
      </c>
      <c r="B3" s="36">
        <v>34.1</v>
      </c>
      <c r="C3" s="36">
        <v>44.1</v>
      </c>
      <c r="D3" s="36">
        <v>43.0</v>
      </c>
      <c r="E3" s="36">
        <v>57.0</v>
      </c>
    </row>
    <row r="4">
      <c r="A4" s="36" t="s">
        <v>833</v>
      </c>
      <c r="B4" s="36">
        <v>30.7</v>
      </c>
      <c r="C4" s="36">
        <v>47.1</v>
      </c>
      <c r="D4" s="36">
        <v>42.6</v>
      </c>
      <c r="E4" s="36">
        <v>57.4</v>
      </c>
    </row>
    <row r="5">
      <c r="A5" s="36" t="s">
        <v>834</v>
      </c>
      <c r="B5" s="36">
        <v>48.5</v>
      </c>
      <c r="C5" s="36">
        <v>27.1</v>
      </c>
      <c r="D5" s="36">
        <v>59.5</v>
      </c>
      <c r="E5" s="36">
        <v>40.5</v>
      </c>
    </row>
    <row r="6">
      <c r="A6" s="36" t="s">
        <v>835</v>
      </c>
      <c r="B6" s="36">
        <v>36.1</v>
      </c>
      <c r="C6" s="36">
        <v>46.1</v>
      </c>
      <c r="D6" s="36">
        <v>45.6</v>
      </c>
      <c r="E6" s="36">
        <v>54.4</v>
      </c>
    </row>
    <row r="7">
      <c r="A7" s="36" t="s">
        <v>836</v>
      </c>
      <c r="B7" s="36">
        <v>36.3</v>
      </c>
      <c r="C7" s="36">
        <v>50.3</v>
      </c>
      <c r="D7" s="36">
        <v>46.4</v>
      </c>
      <c r="E7" s="36">
        <v>53.6</v>
      </c>
    </row>
    <row r="8">
      <c r="A8" s="36" t="s">
        <v>838</v>
      </c>
      <c r="B8" s="36">
        <v>35.8</v>
      </c>
      <c r="C8" s="36">
        <v>52.5</v>
      </c>
      <c r="D8" s="36">
        <v>44.7</v>
      </c>
      <c r="E8" s="36">
        <v>55.3</v>
      </c>
    </row>
    <row r="9">
      <c r="A9" s="36" t="s">
        <v>839</v>
      </c>
      <c r="B9" s="36">
        <v>35.8</v>
      </c>
      <c r="C9" s="36">
        <v>59.2</v>
      </c>
      <c r="D9" s="36">
        <v>40.2</v>
      </c>
      <c r="E9" s="36">
        <v>59.8</v>
      </c>
    </row>
    <row r="10">
      <c r="A10" s="36" t="s">
        <v>840</v>
      </c>
      <c r="B10" s="36">
        <v>33.1</v>
      </c>
      <c r="C10" s="36">
        <v>50.7</v>
      </c>
      <c r="D10" s="36">
        <v>42.6</v>
      </c>
      <c r="E10" s="36">
        <v>57.4</v>
      </c>
    </row>
    <row r="11">
      <c r="A11" s="36"/>
      <c r="B11" s="36"/>
      <c r="C11" s="36"/>
      <c r="D11" s="36"/>
      <c r="E11" s="36"/>
    </row>
    <row r="12">
      <c r="A12" s="36"/>
      <c r="B12" s="36"/>
      <c r="C12" s="36"/>
      <c r="D12" s="36"/>
      <c r="E12" s="36"/>
    </row>
    <row r="13">
      <c r="A13" s="36"/>
      <c r="B13" s="36"/>
      <c r="C13" s="36"/>
      <c r="D13" s="36"/>
      <c r="E13" s="36"/>
    </row>
    <row r="14">
      <c r="A14" s="36"/>
      <c r="B14" s="36"/>
      <c r="C14" s="36"/>
      <c r="D14" s="36"/>
      <c r="E14" s="36"/>
    </row>
    <row r="15">
      <c r="A15" s="36"/>
      <c r="B15" s="36"/>
      <c r="C15" s="36"/>
      <c r="D15" s="36"/>
      <c r="E15" s="36"/>
    </row>
    <row r="16">
      <c r="A16" s="36"/>
      <c r="B16" s="36"/>
      <c r="C16" s="36"/>
      <c r="D16" s="36"/>
      <c r="E16" s="36"/>
    </row>
    <row r="17">
      <c r="A17" s="36"/>
      <c r="B17" s="36"/>
      <c r="C17" s="36"/>
      <c r="D17" s="36"/>
      <c r="E17" s="36"/>
    </row>
    <row r="18">
      <c r="A18" s="36"/>
      <c r="B18" s="36"/>
      <c r="C18" s="36"/>
      <c r="D18" s="36"/>
      <c r="E18" s="36"/>
    </row>
    <row r="19">
      <c r="A19" s="36"/>
      <c r="B19" s="36"/>
      <c r="C19" s="36"/>
      <c r="D19" s="36"/>
      <c r="E19" s="36"/>
    </row>
    <row r="20">
      <c r="A20" s="36"/>
      <c r="B20" s="36"/>
      <c r="C20" s="36"/>
      <c r="D20" s="36"/>
      <c r="E20" s="36"/>
    </row>
    <row r="21" ht="15.75" customHeight="1">
      <c r="A21" s="36"/>
      <c r="B21" s="36"/>
      <c r="C21" s="36"/>
      <c r="D21" s="36"/>
      <c r="E21" s="36"/>
    </row>
    <row r="22" ht="15.75" customHeight="1">
      <c r="A22" s="36"/>
      <c r="B22" s="36"/>
      <c r="C22" s="36"/>
      <c r="D22" s="36"/>
      <c r="E22" s="36"/>
    </row>
    <row r="23" ht="15.75" customHeight="1">
      <c r="A23" s="36"/>
      <c r="B23" s="36"/>
      <c r="C23" s="36"/>
      <c r="D23" s="36"/>
      <c r="E23" s="36"/>
    </row>
    <row r="24" ht="15.75" customHeight="1">
      <c r="A24" s="36"/>
      <c r="B24" s="36"/>
      <c r="C24" s="36"/>
      <c r="D24" s="36"/>
      <c r="E24" s="36"/>
    </row>
    <row r="25" ht="15.75" customHeight="1">
      <c r="A25" s="36"/>
      <c r="B25" s="36"/>
      <c r="C25" s="36"/>
      <c r="D25" s="36"/>
      <c r="E25" s="36"/>
    </row>
    <row r="26" ht="15.75" customHeight="1">
      <c r="A26" s="36"/>
      <c r="B26" s="36"/>
      <c r="C26" s="36"/>
      <c r="D26" s="36"/>
      <c r="E26" s="36"/>
    </row>
    <row r="27" ht="15.75" customHeight="1">
      <c r="A27" s="36"/>
      <c r="B27" s="36"/>
      <c r="C27" s="36"/>
      <c r="D27" s="36"/>
      <c r="E27" s="36"/>
    </row>
    <row r="28" ht="15.75" customHeight="1">
      <c r="A28" s="36"/>
      <c r="B28" s="36"/>
      <c r="C28" s="36"/>
      <c r="D28" s="36"/>
      <c r="E28" s="36"/>
    </row>
    <row r="29" ht="15.75" customHeight="1">
      <c r="A29" s="36"/>
      <c r="B29" s="36"/>
      <c r="C29" s="36"/>
      <c r="D29" s="36"/>
      <c r="E29" s="36"/>
    </row>
    <row r="30" ht="15.75" customHeight="1">
      <c r="A30" s="36"/>
      <c r="B30" s="36"/>
      <c r="C30" s="36"/>
      <c r="D30" s="36"/>
      <c r="E30" s="36"/>
    </row>
    <row r="31" ht="15.75" customHeight="1">
      <c r="A31" s="36"/>
      <c r="B31" s="36"/>
      <c r="C31" s="36"/>
      <c r="D31" s="36"/>
      <c r="E31" s="36"/>
    </row>
    <row r="32" ht="15.75" customHeight="1">
      <c r="A32" s="36"/>
      <c r="B32" s="36"/>
      <c r="C32" s="36"/>
      <c r="D32" s="36"/>
      <c r="E32" s="36"/>
    </row>
    <row r="33" ht="15.75" customHeight="1">
      <c r="A33" s="36"/>
      <c r="B33" s="36"/>
      <c r="C33" s="36"/>
      <c r="D33" s="36"/>
      <c r="E33" s="36"/>
    </row>
    <row r="34" ht="15.75" customHeight="1">
      <c r="A34" s="36"/>
      <c r="B34" s="36"/>
      <c r="C34" s="36"/>
      <c r="D34" s="36"/>
      <c r="E34" s="36"/>
    </row>
    <row r="35" ht="15.75" customHeight="1">
      <c r="A35" s="36"/>
      <c r="B35" s="36"/>
      <c r="C35" s="36"/>
      <c r="D35" s="36"/>
      <c r="E35" s="36"/>
    </row>
    <row r="36" ht="15.75" customHeight="1">
      <c r="A36" s="36"/>
      <c r="B36" s="36"/>
      <c r="C36" s="36"/>
      <c r="D36" s="36"/>
      <c r="E36" s="36"/>
    </row>
    <row r="37" ht="15.75" customHeight="1">
      <c r="A37" s="36"/>
      <c r="B37" s="36"/>
      <c r="C37" s="36"/>
      <c r="D37" s="36"/>
      <c r="E37" s="36"/>
    </row>
    <row r="38" ht="15.75" customHeight="1">
      <c r="A38" s="36"/>
      <c r="B38" s="36"/>
      <c r="C38" s="36"/>
      <c r="D38" s="36"/>
      <c r="E38" s="36"/>
    </row>
    <row r="39" ht="15.75" customHeight="1">
      <c r="A39" s="36"/>
      <c r="B39" s="36"/>
      <c r="C39" s="36"/>
      <c r="D39" s="36"/>
      <c r="E39" s="36"/>
    </row>
    <row r="40" ht="15.75" customHeight="1">
      <c r="A40" s="36"/>
      <c r="B40" s="36"/>
      <c r="C40" s="36"/>
      <c r="D40" s="36"/>
      <c r="E40" s="36"/>
    </row>
    <row r="41" ht="15.75" customHeight="1">
      <c r="A41" s="36"/>
      <c r="B41" s="36"/>
      <c r="C41" s="36"/>
      <c r="D41" s="36"/>
      <c r="E41" s="36"/>
    </row>
    <row r="42" ht="15.75" customHeight="1">
      <c r="A42" s="36"/>
      <c r="B42" s="36"/>
      <c r="C42" s="36"/>
      <c r="D42" s="36"/>
      <c r="E42" s="36"/>
    </row>
    <row r="43" ht="15.75" customHeight="1">
      <c r="A43" s="36"/>
      <c r="B43" s="36"/>
      <c r="C43" s="36"/>
      <c r="D43" s="36"/>
      <c r="E43" s="36"/>
    </row>
    <row r="44" ht="15.75" customHeight="1">
      <c r="A44" s="36"/>
      <c r="B44" s="36"/>
      <c r="C44" s="36"/>
      <c r="D44" s="36"/>
      <c r="E44" s="36"/>
    </row>
    <row r="45" ht="15.75" customHeight="1">
      <c r="A45" s="36"/>
      <c r="B45" s="36"/>
      <c r="C45" s="36"/>
      <c r="D45" s="36"/>
      <c r="E45" s="36"/>
    </row>
    <row r="46" ht="15.75" customHeight="1">
      <c r="A46" s="36"/>
      <c r="B46" s="36"/>
      <c r="C46" s="36"/>
      <c r="D46" s="36"/>
      <c r="E46" s="36"/>
    </row>
    <row r="47" ht="15.75" customHeight="1">
      <c r="A47" s="36"/>
      <c r="B47" s="36"/>
      <c r="C47" s="36"/>
      <c r="D47" s="36"/>
      <c r="E47" s="36"/>
    </row>
    <row r="48" ht="15.75" customHeight="1">
      <c r="A48" s="36"/>
      <c r="B48" s="36"/>
      <c r="C48" s="36"/>
      <c r="D48" s="36"/>
      <c r="E48" s="36"/>
    </row>
    <row r="49" ht="15.75" customHeight="1">
      <c r="A49" s="36"/>
      <c r="B49" s="36"/>
      <c r="C49" s="36"/>
      <c r="D49" s="36"/>
      <c r="E49" s="36"/>
    </row>
    <row r="50" ht="15.75" customHeight="1">
      <c r="A50" s="36"/>
      <c r="B50" s="36"/>
      <c r="C50" s="36"/>
      <c r="D50" s="36"/>
      <c r="E50" s="36"/>
    </row>
    <row r="51" ht="15.75" customHeight="1">
      <c r="A51" s="36"/>
      <c r="B51" s="36"/>
      <c r="C51" s="36"/>
      <c r="D51" s="36"/>
      <c r="E51" s="36"/>
    </row>
    <row r="52" ht="15.75" customHeight="1">
      <c r="A52" s="36"/>
      <c r="B52" s="36"/>
      <c r="C52" s="36"/>
      <c r="D52" s="36"/>
      <c r="E52" s="36"/>
    </row>
    <row r="53" ht="15.75" customHeight="1">
      <c r="A53" s="36"/>
      <c r="B53" s="36"/>
      <c r="C53" s="36"/>
      <c r="D53" s="36"/>
      <c r="E53" s="36"/>
    </row>
    <row r="54" ht="15.75" customHeight="1">
      <c r="A54" s="36"/>
      <c r="B54" s="36"/>
      <c r="C54" s="36"/>
      <c r="D54" s="36"/>
      <c r="E54" s="36"/>
    </row>
    <row r="55" ht="15.75" customHeight="1">
      <c r="A55" s="36"/>
      <c r="B55" s="36"/>
      <c r="C55" s="36"/>
      <c r="D55" s="36"/>
      <c r="E55" s="36"/>
    </row>
    <row r="56" ht="15.75" customHeight="1">
      <c r="A56" s="36"/>
      <c r="B56" s="36"/>
      <c r="C56" s="36"/>
      <c r="D56" s="36"/>
      <c r="E56" s="36"/>
    </row>
    <row r="57" ht="15.75" customHeight="1">
      <c r="A57" s="36"/>
      <c r="B57" s="36"/>
      <c r="C57" s="36"/>
      <c r="D57" s="36"/>
      <c r="E57" s="36"/>
    </row>
    <row r="58" ht="15.75" customHeight="1">
      <c r="A58" s="36"/>
      <c r="B58" s="36"/>
      <c r="C58" s="36"/>
      <c r="D58" s="36"/>
      <c r="E58" s="36"/>
    </row>
    <row r="59" ht="15.75" customHeight="1">
      <c r="A59" s="36"/>
      <c r="B59" s="36"/>
      <c r="C59" s="36"/>
      <c r="D59" s="36"/>
      <c r="E59" s="36"/>
    </row>
    <row r="60" ht="15.75" customHeight="1">
      <c r="A60" s="36"/>
      <c r="B60" s="36"/>
      <c r="C60" s="36"/>
      <c r="D60" s="36"/>
      <c r="E60" s="36"/>
    </row>
    <row r="61" ht="15.75" customHeight="1">
      <c r="A61" s="36"/>
      <c r="B61" s="36"/>
      <c r="C61" s="36"/>
      <c r="D61" s="36"/>
      <c r="E61" s="36"/>
    </row>
    <row r="62" ht="15.75" customHeight="1">
      <c r="A62" s="36"/>
      <c r="B62" s="36"/>
      <c r="C62" s="36"/>
      <c r="D62" s="36"/>
      <c r="E62" s="36"/>
    </row>
    <row r="63" ht="15.75" customHeight="1">
      <c r="A63" s="36"/>
      <c r="B63" s="36"/>
      <c r="C63" s="36"/>
      <c r="D63" s="36"/>
      <c r="E63" s="36"/>
    </row>
    <row r="64" ht="15.75" customHeight="1">
      <c r="A64" s="36"/>
      <c r="B64" s="36"/>
      <c r="C64" s="36"/>
      <c r="D64" s="36"/>
      <c r="E64" s="36"/>
    </row>
    <row r="65" ht="15.75" customHeight="1">
      <c r="A65" s="36"/>
      <c r="B65" s="36"/>
      <c r="C65" s="36"/>
      <c r="D65" s="36"/>
      <c r="E65" s="36"/>
    </row>
    <row r="66" ht="15.75" customHeight="1">
      <c r="A66" s="36"/>
      <c r="B66" s="36"/>
      <c r="C66" s="36"/>
      <c r="D66" s="36"/>
      <c r="E66" s="36"/>
    </row>
    <row r="67" ht="15.75" customHeight="1">
      <c r="A67" s="36"/>
      <c r="B67" s="36"/>
      <c r="C67" s="36"/>
      <c r="D67" s="36"/>
      <c r="E67" s="36"/>
    </row>
    <row r="68" ht="15.75" customHeight="1">
      <c r="A68" s="36"/>
      <c r="B68" s="36"/>
      <c r="C68" s="36"/>
      <c r="D68" s="36"/>
      <c r="E68" s="36"/>
    </row>
    <row r="69" ht="15.75" customHeight="1">
      <c r="A69" s="36"/>
      <c r="B69" s="36"/>
      <c r="C69" s="36"/>
      <c r="D69" s="36"/>
      <c r="E69" s="36"/>
    </row>
    <row r="70" ht="15.75" customHeight="1">
      <c r="A70" s="36"/>
      <c r="B70" s="36"/>
      <c r="C70" s="36"/>
      <c r="D70" s="36"/>
      <c r="E70" s="36"/>
    </row>
    <row r="71" ht="15.75" customHeight="1">
      <c r="A71" s="36"/>
      <c r="B71" s="36"/>
      <c r="C71" s="36"/>
      <c r="D71" s="36"/>
      <c r="E71" s="36"/>
    </row>
    <row r="72" ht="15.75" customHeight="1">
      <c r="A72" s="36"/>
      <c r="B72" s="36"/>
      <c r="C72" s="36"/>
      <c r="D72" s="36"/>
      <c r="E72" s="36"/>
    </row>
    <row r="73" ht="15.75" customHeight="1">
      <c r="A73" s="36"/>
      <c r="B73" s="36"/>
      <c r="C73" s="36"/>
      <c r="D73" s="36"/>
      <c r="E73" s="36"/>
    </row>
    <row r="74" ht="15.75" customHeight="1">
      <c r="A74" s="36"/>
      <c r="B74" s="36"/>
      <c r="C74" s="36"/>
      <c r="D74" s="36"/>
      <c r="E74" s="36"/>
    </row>
    <row r="75" ht="15.75" customHeight="1">
      <c r="A75" s="36"/>
      <c r="B75" s="36"/>
      <c r="C75" s="36"/>
      <c r="D75" s="36"/>
      <c r="E75" s="36"/>
    </row>
    <row r="76" ht="15.75" customHeight="1">
      <c r="A76" s="36"/>
      <c r="B76" s="36"/>
      <c r="C76" s="36"/>
      <c r="D76" s="36"/>
      <c r="E76" s="36"/>
    </row>
    <row r="77" ht="15.75" customHeight="1">
      <c r="A77" s="36"/>
      <c r="B77" s="36"/>
      <c r="C77" s="36"/>
      <c r="D77" s="36"/>
      <c r="E77" s="36"/>
    </row>
    <row r="78" ht="15.75" customHeight="1">
      <c r="A78" s="36"/>
      <c r="B78" s="36"/>
      <c r="C78" s="36"/>
      <c r="D78" s="36"/>
      <c r="E78" s="36"/>
    </row>
    <row r="79" ht="15.75" customHeight="1">
      <c r="A79" s="36"/>
      <c r="B79" s="36"/>
      <c r="C79" s="36"/>
      <c r="D79" s="36"/>
      <c r="E79" s="36"/>
    </row>
    <row r="80" ht="15.75" customHeight="1">
      <c r="A80" s="36"/>
      <c r="B80" s="36"/>
      <c r="C80" s="36"/>
      <c r="D80" s="36"/>
      <c r="E80" s="36"/>
    </row>
    <row r="81" ht="15.75" customHeight="1">
      <c r="A81" s="36"/>
      <c r="B81" s="36"/>
      <c r="C81" s="36"/>
      <c r="D81" s="36"/>
      <c r="E81" s="36"/>
    </row>
    <row r="82" ht="15.75" customHeight="1">
      <c r="A82" s="36"/>
      <c r="B82" s="36"/>
      <c r="C82" s="36"/>
      <c r="D82" s="36"/>
      <c r="E82" s="36"/>
    </row>
    <row r="83" ht="15.75" customHeight="1">
      <c r="A83" s="36"/>
      <c r="B83" s="36"/>
      <c r="C83" s="36"/>
      <c r="D83" s="36"/>
      <c r="E83" s="36"/>
    </row>
    <row r="84" ht="15.75" customHeight="1">
      <c r="A84" s="36"/>
      <c r="B84" s="36"/>
      <c r="C84" s="36"/>
      <c r="D84" s="36"/>
      <c r="E84" s="36"/>
    </row>
    <row r="85" ht="15.75" customHeight="1">
      <c r="A85" s="36"/>
      <c r="B85" s="36"/>
      <c r="C85" s="36"/>
      <c r="D85" s="36"/>
      <c r="E85" s="36"/>
    </row>
    <row r="86" ht="15.75" customHeight="1">
      <c r="A86" s="36"/>
      <c r="B86" s="36"/>
      <c r="C86" s="36"/>
      <c r="D86" s="36"/>
      <c r="E86" s="36"/>
    </row>
    <row r="87" ht="15.75" customHeight="1">
      <c r="A87" s="36"/>
      <c r="B87" s="36"/>
      <c r="C87" s="36"/>
      <c r="D87" s="36"/>
      <c r="E87" s="36"/>
    </row>
    <row r="88" ht="15.75" customHeight="1">
      <c r="A88" s="36"/>
      <c r="B88" s="36"/>
      <c r="C88" s="36"/>
      <c r="D88" s="36"/>
      <c r="E88" s="36"/>
    </row>
    <row r="89" ht="15.75" customHeight="1">
      <c r="A89" s="36"/>
      <c r="B89" s="36"/>
      <c r="C89" s="36"/>
      <c r="D89" s="36"/>
      <c r="E89" s="36"/>
    </row>
    <row r="90" ht="15.75" customHeight="1">
      <c r="A90" s="36"/>
      <c r="B90" s="36"/>
      <c r="C90" s="36"/>
      <c r="D90" s="36"/>
      <c r="E90" s="36"/>
    </row>
    <row r="91" ht="15.75" customHeight="1">
      <c r="A91" s="36"/>
      <c r="B91" s="36"/>
      <c r="C91" s="36"/>
      <c r="D91" s="36"/>
      <c r="E91" s="36"/>
    </row>
    <row r="92" ht="15.75" customHeight="1">
      <c r="A92" s="36"/>
      <c r="B92" s="36"/>
      <c r="C92" s="36"/>
      <c r="D92" s="36"/>
      <c r="E92" s="36"/>
    </row>
    <row r="93" ht="15.75" customHeight="1">
      <c r="A93" s="36"/>
      <c r="B93" s="36"/>
      <c r="C93" s="36"/>
      <c r="D93" s="36"/>
      <c r="E93" s="36"/>
    </row>
    <row r="94" ht="15.75" customHeight="1">
      <c r="A94" s="36"/>
      <c r="B94" s="36"/>
      <c r="C94" s="36"/>
      <c r="D94" s="36"/>
      <c r="E94" s="36"/>
    </row>
    <row r="95" ht="15.75" customHeight="1">
      <c r="A95" s="36"/>
      <c r="B95" s="36"/>
      <c r="C95" s="36"/>
      <c r="D95" s="36"/>
      <c r="E95" s="36"/>
    </row>
    <row r="96" ht="15.75" customHeight="1">
      <c r="A96" s="36"/>
      <c r="B96" s="36"/>
      <c r="C96" s="36"/>
      <c r="D96" s="36"/>
      <c r="E96" s="36"/>
    </row>
    <row r="97" ht="15.75" customHeight="1">
      <c r="A97" s="36"/>
      <c r="B97" s="36"/>
      <c r="C97" s="36"/>
      <c r="D97" s="36"/>
      <c r="E97" s="36"/>
    </row>
    <row r="98" ht="15.75" customHeight="1">
      <c r="A98" s="36"/>
      <c r="B98" s="36"/>
      <c r="C98" s="36"/>
      <c r="D98" s="36"/>
      <c r="E98" s="36"/>
    </row>
    <row r="99" ht="15.75" customHeight="1">
      <c r="A99" s="36"/>
      <c r="B99" s="36"/>
      <c r="C99" s="36"/>
      <c r="D99" s="36"/>
      <c r="E99" s="36"/>
    </row>
    <row r="100" ht="15.75" customHeight="1">
      <c r="A100" s="36"/>
      <c r="B100" s="36"/>
      <c r="C100" s="36"/>
      <c r="D100" s="36"/>
      <c r="E100" s="36"/>
    </row>
    <row r="101" ht="15.75" customHeight="1">
      <c r="A101" s="36"/>
      <c r="B101" s="36"/>
      <c r="C101" s="36"/>
      <c r="D101" s="36"/>
      <c r="E101" s="36"/>
    </row>
    <row r="102" ht="15.75" customHeight="1">
      <c r="A102" s="36"/>
      <c r="B102" s="36"/>
      <c r="C102" s="36"/>
      <c r="D102" s="36"/>
      <c r="E102" s="36"/>
    </row>
    <row r="103" ht="15.75" customHeight="1">
      <c r="A103" s="36"/>
      <c r="B103" s="36"/>
      <c r="C103" s="36"/>
      <c r="D103" s="36"/>
      <c r="E103" s="36"/>
    </row>
    <row r="104" ht="15.75" customHeight="1">
      <c r="A104" s="36"/>
      <c r="B104" s="36"/>
      <c r="C104" s="36"/>
      <c r="D104" s="36"/>
      <c r="E104" s="36"/>
    </row>
    <row r="105" ht="15.75" customHeight="1">
      <c r="A105" s="36"/>
      <c r="B105" s="36"/>
      <c r="C105" s="36"/>
      <c r="D105" s="36"/>
      <c r="E105" s="36"/>
    </row>
    <row r="106" ht="15.75" customHeight="1">
      <c r="A106" s="36"/>
      <c r="B106" s="36"/>
      <c r="C106" s="36"/>
      <c r="D106" s="36"/>
      <c r="E106" s="36"/>
    </row>
    <row r="107" ht="15.75" customHeight="1">
      <c r="A107" s="36"/>
      <c r="B107" s="36"/>
      <c r="C107" s="36"/>
      <c r="D107" s="36"/>
      <c r="E107" s="36"/>
    </row>
    <row r="108" ht="15.75" customHeight="1">
      <c r="A108" s="36"/>
      <c r="B108" s="36"/>
      <c r="C108" s="36"/>
      <c r="D108" s="36"/>
      <c r="E108" s="36"/>
    </row>
    <row r="109" ht="15.75" customHeight="1">
      <c r="A109" s="36"/>
      <c r="B109" s="36"/>
      <c r="C109" s="36"/>
      <c r="D109" s="36"/>
      <c r="E109" s="36"/>
    </row>
    <row r="110" ht="15.75" customHeight="1">
      <c r="A110" s="36"/>
      <c r="B110" s="36"/>
      <c r="C110" s="36"/>
      <c r="D110" s="36"/>
      <c r="E110" s="36"/>
    </row>
    <row r="111" ht="15.75" customHeight="1">
      <c r="A111" s="36"/>
      <c r="B111" s="36"/>
      <c r="C111" s="36"/>
      <c r="D111" s="36"/>
      <c r="E111" s="36"/>
    </row>
    <row r="112" ht="15.75" customHeight="1">
      <c r="A112" s="36"/>
      <c r="B112" s="36"/>
      <c r="C112" s="36"/>
      <c r="D112" s="36"/>
      <c r="E112" s="36"/>
    </row>
    <row r="113" ht="15.75" customHeight="1">
      <c r="A113" s="36"/>
      <c r="B113" s="36"/>
      <c r="C113" s="36"/>
      <c r="D113" s="36"/>
      <c r="E113" s="36"/>
    </row>
    <row r="114" ht="15.75" customHeight="1">
      <c r="A114" s="36"/>
      <c r="B114" s="36"/>
      <c r="C114" s="36"/>
      <c r="D114" s="36"/>
      <c r="E114" s="36"/>
    </row>
    <row r="115" ht="15.75" customHeight="1">
      <c r="A115" s="36"/>
      <c r="B115" s="36"/>
      <c r="C115" s="36"/>
      <c r="D115" s="36"/>
      <c r="E115" s="36"/>
    </row>
    <row r="116" ht="15.75" customHeight="1">
      <c r="A116" s="36"/>
      <c r="B116" s="36"/>
      <c r="C116" s="36"/>
      <c r="D116" s="36"/>
      <c r="E116" s="36"/>
    </row>
    <row r="117" ht="15.75" customHeight="1">
      <c r="A117" s="36"/>
      <c r="B117" s="36"/>
      <c r="C117" s="36"/>
      <c r="D117" s="36"/>
      <c r="E117" s="36"/>
    </row>
    <row r="118" ht="15.75" customHeight="1">
      <c r="A118" s="36"/>
      <c r="B118" s="36"/>
      <c r="C118" s="36"/>
      <c r="D118" s="36"/>
      <c r="E118" s="36"/>
    </row>
    <row r="119" ht="15.75" customHeight="1">
      <c r="A119" s="36"/>
      <c r="B119" s="36"/>
      <c r="C119" s="36"/>
      <c r="D119" s="36"/>
      <c r="E119" s="36"/>
    </row>
    <row r="120" ht="15.75" customHeight="1">
      <c r="A120" s="36"/>
      <c r="B120" s="36"/>
      <c r="C120" s="36"/>
      <c r="D120" s="36"/>
      <c r="E120" s="36"/>
    </row>
    <row r="121" ht="15.75" customHeight="1">
      <c r="A121" s="36"/>
      <c r="B121" s="36"/>
      <c r="C121" s="36"/>
      <c r="D121" s="36"/>
      <c r="E121" s="36"/>
    </row>
    <row r="122" ht="15.75" customHeight="1">
      <c r="A122" s="36"/>
      <c r="B122" s="36"/>
      <c r="C122" s="36"/>
      <c r="D122" s="36"/>
      <c r="E122" s="36"/>
    </row>
    <row r="123" ht="15.75" customHeight="1">
      <c r="A123" s="36"/>
      <c r="B123" s="36"/>
      <c r="C123" s="36"/>
      <c r="D123" s="36"/>
      <c r="E123" s="36"/>
    </row>
    <row r="124" ht="15.75" customHeight="1">
      <c r="A124" s="36"/>
      <c r="B124" s="36"/>
      <c r="C124" s="36"/>
      <c r="D124" s="36"/>
      <c r="E124" s="36"/>
    </row>
    <row r="125" ht="15.75" customHeight="1">
      <c r="A125" s="36"/>
      <c r="B125" s="36"/>
      <c r="C125" s="36"/>
      <c r="D125" s="36"/>
      <c r="E125" s="36"/>
    </row>
    <row r="126" ht="15.75" customHeight="1">
      <c r="A126" s="36"/>
      <c r="B126" s="36"/>
      <c r="C126" s="36"/>
      <c r="D126" s="36"/>
      <c r="E126" s="36"/>
    </row>
    <row r="127" ht="15.75" customHeight="1">
      <c r="A127" s="36"/>
      <c r="B127" s="36"/>
      <c r="C127" s="36"/>
      <c r="D127" s="36"/>
      <c r="E127" s="36"/>
    </row>
    <row r="128" ht="15.75" customHeight="1">
      <c r="A128" s="36"/>
      <c r="B128" s="36"/>
      <c r="C128" s="36"/>
      <c r="D128" s="36"/>
      <c r="E128" s="36"/>
    </row>
    <row r="129" ht="15.75" customHeight="1">
      <c r="A129" s="36"/>
      <c r="B129" s="36"/>
      <c r="C129" s="36"/>
      <c r="D129" s="36"/>
      <c r="E129" s="36"/>
    </row>
    <row r="130" ht="15.75" customHeight="1">
      <c r="A130" s="36"/>
      <c r="B130" s="36"/>
      <c r="C130" s="36"/>
      <c r="D130" s="36"/>
      <c r="E130" s="36"/>
    </row>
    <row r="131" ht="15.75" customHeight="1">
      <c r="A131" s="36"/>
      <c r="B131" s="36"/>
      <c r="C131" s="36"/>
      <c r="D131" s="36"/>
      <c r="E131" s="36"/>
    </row>
    <row r="132" ht="15.75" customHeight="1">
      <c r="A132" s="36"/>
      <c r="B132" s="36"/>
      <c r="C132" s="36"/>
      <c r="D132" s="36"/>
      <c r="E132" s="36"/>
    </row>
    <row r="133" ht="15.75" customHeight="1">
      <c r="A133" s="36"/>
      <c r="B133" s="36"/>
      <c r="C133" s="36"/>
      <c r="D133" s="36"/>
      <c r="E133" s="36"/>
    </row>
    <row r="134" ht="15.75" customHeight="1">
      <c r="A134" s="36"/>
      <c r="B134" s="36"/>
      <c r="C134" s="36"/>
      <c r="D134" s="36"/>
      <c r="E134" s="36"/>
    </row>
    <row r="135" ht="15.75" customHeight="1">
      <c r="A135" s="36"/>
      <c r="B135" s="36"/>
      <c r="C135" s="36"/>
      <c r="D135" s="36"/>
      <c r="E135" s="36"/>
    </row>
    <row r="136" ht="15.75" customHeight="1">
      <c r="A136" s="36"/>
      <c r="B136" s="36"/>
      <c r="C136" s="36"/>
      <c r="D136" s="36"/>
      <c r="E136" s="36"/>
    </row>
    <row r="137" ht="15.75" customHeight="1">
      <c r="A137" s="36"/>
      <c r="B137" s="36"/>
      <c r="C137" s="36"/>
      <c r="D137" s="36"/>
      <c r="E137" s="36"/>
    </row>
    <row r="138" ht="15.75" customHeight="1">
      <c r="A138" s="36"/>
      <c r="B138" s="36"/>
      <c r="C138" s="36"/>
      <c r="D138" s="36"/>
      <c r="E138" s="36"/>
    </row>
    <row r="139" ht="15.75" customHeight="1">
      <c r="A139" s="36"/>
      <c r="B139" s="36"/>
      <c r="C139" s="36"/>
      <c r="D139" s="36"/>
      <c r="E139" s="36"/>
    </row>
    <row r="140" ht="15.75" customHeight="1">
      <c r="A140" s="36"/>
      <c r="B140" s="36"/>
      <c r="C140" s="36"/>
      <c r="D140" s="36"/>
      <c r="E140" s="36"/>
    </row>
    <row r="141" ht="15.75" customHeight="1">
      <c r="A141" s="36"/>
      <c r="B141" s="36"/>
      <c r="C141" s="36"/>
      <c r="D141" s="36"/>
      <c r="E141" s="36"/>
    </row>
    <row r="142" ht="15.75" customHeight="1">
      <c r="A142" s="36"/>
      <c r="B142" s="36"/>
      <c r="C142" s="36"/>
      <c r="D142" s="36"/>
      <c r="E142" s="36"/>
    </row>
    <row r="143" ht="15.75" customHeight="1">
      <c r="A143" s="36"/>
      <c r="B143" s="36"/>
      <c r="C143" s="36"/>
      <c r="D143" s="36"/>
      <c r="E143" s="36"/>
    </row>
    <row r="144" ht="15.75" customHeight="1">
      <c r="A144" s="36"/>
      <c r="B144" s="36"/>
      <c r="C144" s="36"/>
      <c r="D144" s="36"/>
      <c r="E144" s="36"/>
    </row>
    <row r="145" ht="15.75" customHeight="1">
      <c r="A145" s="36"/>
      <c r="B145" s="36"/>
      <c r="C145" s="36"/>
      <c r="D145" s="36"/>
      <c r="E145" s="36"/>
    </row>
    <row r="146" ht="15.75" customHeight="1">
      <c r="A146" s="36"/>
      <c r="B146" s="36"/>
      <c r="C146" s="36"/>
      <c r="D146" s="36"/>
      <c r="E146" s="36"/>
    </row>
    <row r="147" ht="15.75" customHeight="1">
      <c r="A147" s="36"/>
      <c r="B147" s="36"/>
      <c r="C147" s="36"/>
      <c r="D147" s="36"/>
      <c r="E147" s="36"/>
    </row>
    <row r="148" ht="15.75" customHeight="1">
      <c r="A148" s="36"/>
      <c r="B148" s="36"/>
      <c r="C148" s="36"/>
      <c r="D148" s="36"/>
      <c r="E148" s="36"/>
    </row>
    <row r="149" ht="15.75" customHeight="1">
      <c r="A149" s="36"/>
      <c r="B149" s="36"/>
      <c r="C149" s="36"/>
      <c r="D149" s="36"/>
      <c r="E149" s="36"/>
    </row>
    <row r="150" ht="15.75" customHeight="1">
      <c r="A150" s="36"/>
      <c r="B150" s="36"/>
      <c r="C150" s="36"/>
      <c r="D150" s="36"/>
      <c r="E150" s="36"/>
    </row>
    <row r="151" ht="15.75" customHeight="1">
      <c r="A151" s="36"/>
      <c r="B151" s="36"/>
      <c r="C151" s="36"/>
      <c r="D151" s="36"/>
      <c r="E151" s="36"/>
    </row>
    <row r="152" ht="15.75" customHeight="1">
      <c r="A152" s="36"/>
      <c r="B152" s="36"/>
      <c r="C152" s="36"/>
      <c r="D152" s="36"/>
      <c r="E152" s="36"/>
    </row>
    <row r="153" ht="15.75" customHeight="1">
      <c r="A153" s="36"/>
      <c r="B153" s="36"/>
      <c r="C153" s="36"/>
      <c r="D153" s="36"/>
      <c r="E153" s="36"/>
    </row>
    <row r="154" ht="15.75" customHeight="1">
      <c r="A154" s="36"/>
      <c r="B154" s="36"/>
      <c r="C154" s="36"/>
      <c r="D154" s="36"/>
      <c r="E154" s="36"/>
    </row>
    <row r="155" ht="15.75" customHeight="1">
      <c r="A155" s="36"/>
      <c r="B155" s="36"/>
      <c r="C155" s="36"/>
      <c r="D155" s="36"/>
      <c r="E155" s="36"/>
    </row>
    <row r="156" ht="15.75" customHeight="1">
      <c r="A156" s="36"/>
      <c r="B156" s="36"/>
      <c r="C156" s="36"/>
      <c r="D156" s="36"/>
      <c r="E156" s="36"/>
    </row>
    <row r="157" ht="15.75" customHeight="1">
      <c r="A157" s="36"/>
      <c r="B157" s="36"/>
      <c r="C157" s="36"/>
      <c r="D157" s="36"/>
      <c r="E157" s="36"/>
    </row>
    <row r="158" ht="15.75" customHeight="1">
      <c r="A158" s="36"/>
      <c r="B158" s="36"/>
      <c r="C158" s="36"/>
      <c r="D158" s="36"/>
      <c r="E158" s="36"/>
    </row>
    <row r="159" ht="15.75" customHeight="1">
      <c r="A159" s="36"/>
      <c r="B159" s="36"/>
      <c r="C159" s="36"/>
      <c r="D159" s="36"/>
      <c r="E159" s="36"/>
    </row>
    <row r="160" ht="15.75" customHeight="1">
      <c r="A160" s="36"/>
      <c r="B160" s="36"/>
      <c r="C160" s="36"/>
      <c r="D160" s="36"/>
      <c r="E160" s="36"/>
    </row>
    <row r="161" ht="15.75" customHeight="1">
      <c r="A161" s="36"/>
      <c r="B161" s="36"/>
      <c r="C161" s="36"/>
      <c r="D161" s="36"/>
      <c r="E161" s="36"/>
    </row>
    <row r="162" ht="15.75" customHeight="1">
      <c r="A162" s="36"/>
      <c r="B162" s="36"/>
      <c r="C162" s="36"/>
      <c r="D162" s="36"/>
      <c r="E162" s="36"/>
    </row>
    <row r="163" ht="15.75" customHeight="1">
      <c r="A163" s="36"/>
      <c r="B163" s="36"/>
      <c r="C163" s="36"/>
      <c r="D163" s="36"/>
      <c r="E163" s="36"/>
    </row>
    <row r="164" ht="15.75" customHeight="1">
      <c r="A164" s="36"/>
      <c r="B164" s="36"/>
      <c r="C164" s="36"/>
      <c r="D164" s="36"/>
      <c r="E164" s="36"/>
    </row>
    <row r="165" ht="15.75" customHeight="1">
      <c r="A165" s="36"/>
      <c r="B165" s="36"/>
      <c r="C165" s="36"/>
      <c r="D165" s="36"/>
      <c r="E165" s="36"/>
    </row>
    <row r="166" ht="15.75" customHeight="1">
      <c r="A166" s="36"/>
      <c r="B166" s="36"/>
      <c r="C166" s="36"/>
      <c r="D166" s="36"/>
      <c r="E166" s="36"/>
    </row>
    <row r="167" ht="15.75" customHeight="1">
      <c r="A167" s="36"/>
      <c r="B167" s="36"/>
      <c r="C167" s="36"/>
      <c r="D167" s="36"/>
      <c r="E167" s="36"/>
    </row>
    <row r="168" ht="15.75" customHeight="1">
      <c r="A168" s="36"/>
      <c r="B168" s="36"/>
      <c r="C168" s="36"/>
      <c r="D168" s="36"/>
      <c r="E168" s="36"/>
    </row>
    <row r="169" ht="15.75" customHeight="1">
      <c r="A169" s="36"/>
      <c r="B169" s="36"/>
      <c r="C169" s="36"/>
      <c r="D169" s="36"/>
      <c r="E169" s="36"/>
    </row>
    <row r="170" ht="15.75" customHeight="1">
      <c r="A170" s="36"/>
      <c r="B170" s="36"/>
      <c r="C170" s="36"/>
      <c r="D170" s="36"/>
      <c r="E170" s="36"/>
    </row>
    <row r="171" ht="15.75" customHeight="1">
      <c r="A171" s="36"/>
      <c r="B171" s="36"/>
      <c r="C171" s="36"/>
      <c r="D171" s="36"/>
      <c r="E171" s="36"/>
    </row>
    <row r="172" ht="15.75" customHeight="1">
      <c r="A172" s="36"/>
      <c r="B172" s="36"/>
      <c r="C172" s="36"/>
      <c r="D172" s="36"/>
      <c r="E172" s="36"/>
    </row>
    <row r="173" ht="15.75" customHeight="1">
      <c r="A173" s="36"/>
      <c r="B173" s="36"/>
      <c r="C173" s="36"/>
      <c r="D173" s="36"/>
      <c r="E173" s="36"/>
    </row>
    <row r="174" ht="15.75" customHeight="1">
      <c r="A174" s="36"/>
      <c r="B174" s="36"/>
      <c r="C174" s="36"/>
      <c r="D174" s="36"/>
      <c r="E174" s="36"/>
    </row>
    <row r="175" ht="15.75" customHeight="1">
      <c r="A175" s="36"/>
      <c r="B175" s="36"/>
      <c r="C175" s="36"/>
      <c r="D175" s="36"/>
      <c r="E175" s="36"/>
    </row>
    <row r="176" ht="15.75" customHeight="1">
      <c r="A176" s="36"/>
      <c r="B176" s="36"/>
      <c r="C176" s="36"/>
      <c r="D176" s="36"/>
      <c r="E176" s="36"/>
    </row>
    <row r="177" ht="15.75" customHeight="1">
      <c r="A177" s="36"/>
      <c r="B177" s="36"/>
      <c r="C177" s="36"/>
      <c r="D177" s="36"/>
      <c r="E177" s="36"/>
    </row>
    <row r="178" ht="15.75" customHeight="1">
      <c r="A178" s="36"/>
      <c r="B178" s="36"/>
      <c r="C178" s="36"/>
      <c r="D178" s="36"/>
      <c r="E178" s="36"/>
    </row>
    <row r="179" ht="15.75" customHeight="1">
      <c r="A179" s="36"/>
      <c r="B179" s="36"/>
      <c r="C179" s="36"/>
      <c r="D179" s="36"/>
      <c r="E179" s="36"/>
    </row>
    <row r="180" ht="15.75" customHeight="1">
      <c r="A180" s="36"/>
      <c r="B180" s="36"/>
      <c r="C180" s="36"/>
      <c r="D180" s="36"/>
      <c r="E180" s="36"/>
    </row>
    <row r="181" ht="15.75" customHeight="1">
      <c r="A181" s="36"/>
      <c r="B181" s="36"/>
      <c r="C181" s="36"/>
      <c r="D181" s="36"/>
      <c r="E181" s="36"/>
    </row>
    <row r="182" ht="15.75" customHeight="1">
      <c r="A182" s="36"/>
      <c r="B182" s="36"/>
      <c r="C182" s="36"/>
      <c r="D182" s="36"/>
      <c r="E182" s="36"/>
    </row>
    <row r="183" ht="15.75" customHeight="1">
      <c r="A183" s="36"/>
      <c r="B183" s="36"/>
      <c r="C183" s="36"/>
      <c r="D183" s="36"/>
      <c r="E183" s="36"/>
    </row>
    <row r="184" ht="15.75" customHeight="1">
      <c r="A184" s="36"/>
      <c r="B184" s="36"/>
      <c r="C184" s="36"/>
      <c r="D184" s="36"/>
      <c r="E184" s="36"/>
    </row>
    <row r="185" ht="15.75" customHeight="1">
      <c r="A185" s="36"/>
      <c r="B185" s="36"/>
      <c r="C185" s="36"/>
      <c r="D185" s="36"/>
      <c r="E185" s="36"/>
    </row>
    <row r="186" ht="15.75" customHeight="1">
      <c r="A186" s="36"/>
      <c r="B186" s="36"/>
      <c r="C186" s="36"/>
      <c r="D186" s="36"/>
      <c r="E186" s="36"/>
    </row>
    <row r="187" ht="15.75" customHeight="1">
      <c r="A187" s="36"/>
      <c r="B187" s="36"/>
      <c r="C187" s="36"/>
      <c r="D187" s="36"/>
      <c r="E187" s="36"/>
    </row>
    <row r="188" ht="15.75" customHeight="1">
      <c r="A188" s="36"/>
      <c r="B188" s="36"/>
      <c r="C188" s="36"/>
      <c r="D188" s="36"/>
      <c r="E188" s="36"/>
    </row>
    <row r="189" ht="15.75" customHeight="1">
      <c r="A189" s="36"/>
      <c r="B189" s="36"/>
      <c r="C189" s="36"/>
      <c r="D189" s="36"/>
      <c r="E189" s="36"/>
    </row>
    <row r="190" ht="15.75" customHeight="1">
      <c r="A190" s="36"/>
      <c r="B190" s="36"/>
      <c r="C190" s="36"/>
      <c r="D190" s="36"/>
      <c r="E190" s="36"/>
    </row>
    <row r="191" ht="15.75" customHeight="1">
      <c r="A191" s="36"/>
      <c r="B191" s="36"/>
      <c r="C191" s="36"/>
      <c r="D191" s="36"/>
      <c r="E191" s="36"/>
    </row>
    <row r="192" ht="15.75" customHeight="1">
      <c r="A192" s="36"/>
      <c r="B192" s="36"/>
      <c r="C192" s="36"/>
      <c r="D192" s="36"/>
      <c r="E192" s="36"/>
    </row>
    <row r="193" ht="15.75" customHeight="1">
      <c r="A193" s="36"/>
      <c r="B193" s="36"/>
      <c r="C193" s="36"/>
      <c r="D193" s="36"/>
      <c r="E193" s="36"/>
    </row>
    <row r="194" ht="15.75" customHeight="1">
      <c r="A194" s="36"/>
      <c r="B194" s="36"/>
      <c r="C194" s="36"/>
      <c r="D194" s="36"/>
      <c r="E194" s="36"/>
    </row>
    <row r="195" ht="15.75" customHeight="1">
      <c r="A195" s="36"/>
      <c r="B195" s="36"/>
      <c r="C195" s="36"/>
      <c r="D195" s="36"/>
      <c r="E195" s="36"/>
    </row>
    <row r="196" ht="15.75" customHeight="1">
      <c r="A196" s="36"/>
      <c r="B196" s="36"/>
      <c r="C196" s="36"/>
      <c r="D196" s="36"/>
      <c r="E196" s="36"/>
    </row>
    <row r="197" ht="15.75" customHeight="1">
      <c r="A197" s="36"/>
      <c r="B197" s="36"/>
      <c r="C197" s="36"/>
      <c r="D197" s="36"/>
      <c r="E197" s="36"/>
    </row>
    <row r="198" ht="15.75" customHeight="1">
      <c r="A198" s="36"/>
      <c r="B198" s="36"/>
      <c r="C198" s="36"/>
      <c r="D198" s="36"/>
      <c r="E198" s="36"/>
    </row>
    <row r="199" ht="15.75" customHeight="1">
      <c r="A199" s="36"/>
      <c r="B199" s="36"/>
      <c r="C199" s="36"/>
      <c r="D199" s="36"/>
      <c r="E199" s="36"/>
    </row>
    <row r="200" ht="15.75" customHeight="1">
      <c r="A200" s="36"/>
      <c r="B200" s="36"/>
      <c r="C200" s="36"/>
      <c r="D200" s="36"/>
      <c r="E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4" width="24.0"/>
    <col customWidth="1" min="5" max="5" width="26.0"/>
    <col customWidth="1" min="6" max="26" width="8.63"/>
  </cols>
  <sheetData>
    <row r="1">
      <c r="A1" s="75" t="s">
        <v>904</v>
      </c>
      <c r="B1" s="75"/>
      <c r="C1" s="75"/>
      <c r="D1" s="75"/>
      <c r="E1" s="75"/>
    </row>
    <row r="2">
      <c r="A2" s="36" t="s">
        <v>905</v>
      </c>
      <c r="B2" s="36" t="s">
        <v>227</v>
      </c>
      <c r="C2" s="36" t="s">
        <v>906</v>
      </c>
      <c r="D2" s="36" t="s">
        <v>907</v>
      </c>
      <c r="E2" s="36" t="s">
        <v>908</v>
      </c>
    </row>
    <row r="3">
      <c r="A3" s="36" t="s">
        <v>909</v>
      </c>
      <c r="B3" s="36" t="s">
        <v>910</v>
      </c>
      <c r="C3" s="36" t="s">
        <v>911</v>
      </c>
      <c r="D3" s="36" t="s">
        <v>912</v>
      </c>
      <c r="E3" s="36" t="s">
        <v>913</v>
      </c>
    </row>
    <row r="4">
      <c r="A4" s="36" t="s">
        <v>909</v>
      </c>
      <c r="B4" s="36" t="s">
        <v>914</v>
      </c>
      <c r="C4" s="36" t="s">
        <v>915</v>
      </c>
      <c r="D4" s="36" t="s">
        <v>916</v>
      </c>
      <c r="E4" s="36" t="s">
        <v>917</v>
      </c>
    </row>
    <row r="5">
      <c r="A5" s="36" t="s">
        <v>918</v>
      </c>
      <c r="B5" s="36" t="s">
        <v>910</v>
      </c>
      <c r="C5" s="36" t="s">
        <v>919</v>
      </c>
      <c r="D5" s="36" t="s">
        <v>920</v>
      </c>
      <c r="E5" s="36" t="s">
        <v>921</v>
      </c>
    </row>
    <row r="6">
      <c r="A6" s="36" t="s">
        <v>918</v>
      </c>
      <c r="B6" s="36" t="s">
        <v>914</v>
      </c>
      <c r="C6" s="36" t="s">
        <v>922</v>
      </c>
      <c r="D6" s="36" t="s">
        <v>923</v>
      </c>
      <c r="E6" s="36" t="s">
        <v>924</v>
      </c>
    </row>
    <row r="7">
      <c r="A7" s="36" t="s">
        <v>925</v>
      </c>
      <c r="B7" s="36" t="s">
        <v>910</v>
      </c>
      <c r="C7" s="36" t="s">
        <v>926</v>
      </c>
      <c r="D7" s="36" t="s">
        <v>927</v>
      </c>
      <c r="E7" s="36" t="s">
        <v>928</v>
      </c>
    </row>
    <row r="8">
      <c r="A8" s="36" t="s">
        <v>834</v>
      </c>
      <c r="B8" s="36" t="s">
        <v>929</v>
      </c>
      <c r="C8" s="36" t="s">
        <v>930</v>
      </c>
      <c r="D8" s="36" t="s">
        <v>931</v>
      </c>
      <c r="E8" s="36" t="s">
        <v>932</v>
      </c>
    </row>
    <row r="9">
      <c r="A9" s="36"/>
      <c r="B9" s="36"/>
      <c r="C9" s="36"/>
      <c r="D9" s="36"/>
      <c r="E9" s="36"/>
    </row>
    <row r="10">
      <c r="A10" s="36"/>
      <c r="B10" s="36"/>
      <c r="C10" s="36"/>
      <c r="D10" s="36"/>
      <c r="E10" s="36"/>
    </row>
    <row r="11">
      <c r="A11" s="36"/>
      <c r="B11" s="36"/>
      <c r="C11" s="36"/>
      <c r="D11" s="36"/>
      <c r="E11" s="36"/>
    </row>
    <row r="12">
      <c r="A12" s="36"/>
      <c r="B12" s="36"/>
      <c r="C12" s="36"/>
      <c r="D12" s="36"/>
      <c r="E12" s="36"/>
    </row>
    <row r="13">
      <c r="A13" s="36"/>
      <c r="B13" s="36"/>
      <c r="C13" s="36"/>
      <c r="D13" s="36"/>
      <c r="E13" s="36"/>
    </row>
    <row r="14">
      <c r="A14" s="36"/>
      <c r="B14" s="36"/>
      <c r="C14" s="36"/>
      <c r="D14" s="36"/>
      <c r="E14" s="36"/>
    </row>
    <row r="15">
      <c r="A15" s="36"/>
      <c r="B15" s="36"/>
      <c r="C15" s="36"/>
      <c r="D15" s="36"/>
      <c r="E15" s="36"/>
    </row>
    <row r="16">
      <c r="A16" s="36"/>
      <c r="B16" s="36"/>
      <c r="C16" s="36"/>
      <c r="D16" s="36"/>
      <c r="E16" s="36"/>
    </row>
    <row r="17">
      <c r="A17" s="36"/>
      <c r="B17" s="36"/>
      <c r="C17" s="36"/>
      <c r="D17" s="36"/>
      <c r="E17" s="36"/>
    </row>
    <row r="18">
      <c r="A18" s="36"/>
      <c r="B18" s="36"/>
      <c r="C18" s="36"/>
      <c r="D18" s="36"/>
      <c r="E18" s="36"/>
    </row>
    <row r="19">
      <c r="A19" s="36"/>
      <c r="B19" s="36"/>
      <c r="C19" s="36"/>
      <c r="D19" s="36"/>
      <c r="E19" s="36"/>
    </row>
    <row r="20">
      <c r="A20" s="36"/>
      <c r="B20" s="36"/>
      <c r="C20" s="36"/>
      <c r="D20" s="36"/>
      <c r="E20" s="36"/>
    </row>
    <row r="21" ht="15.75" customHeight="1">
      <c r="A21" s="36"/>
      <c r="B21" s="36"/>
      <c r="C21" s="36"/>
      <c r="D21" s="36"/>
      <c r="E21" s="36"/>
    </row>
    <row r="22" ht="15.75" customHeight="1">
      <c r="A22" s="36"/>
      <c r="B22" s="36"/>
      <c r="C22" s="36"/>
      <c r="D22" s="36"/>
      <c r="E22" s="36"/>
    </row>
    <row r="23" ht="15.75" customHeight="1">
      <c r="A23" s="36"/>
      <c r="B23" s="36"/>
      <c r="C23" s="36"/>
      <c r="D23" s="36"/>
      <c r="E23" s="36"/>
    </row>
    <row r="24" ht="15.75" customHeight="1">
      <c r="A24" s="36"/>
      <c r="B24" s="36"/>
      <c r="C24" s="36"/>
      <c r="D24" s="36"/>
      <c r="E24" s="36"/>
    </row>
    <row r="25" ht="15.75" customHeight="1">
      <c r="A25" s="36"/>
      <c r="B25" s="36"/>
      <c r="C25" s="36"/>
      <c r="D25" s="36"/>
      <c r="E25" s="36"/>
    </row>
    <row r="26" ht="15.75" customHeight="1">
      <c r="A26" s="36"/>
      <c r="B26" s="36"/>
      <c r="C26" s="36"/>
      <c r="D26" s="36"/>
      <c r="E26" s="36"/>
    </row>
    <row r="27" ht="15.75" customHeight="1">
      <c r="A27" s="36"/>
      <c r="B27" s="36"/>
      <c r="C27" s="36"/>
      <c r="D27" s="36"/>
      <c r="E27" s="36"/>
    </row>
    <row r="28" ht="15.75" customHeight="1">
      <c r="A28" s="36"/>
      <c r="B28" s="36"/>
      <c r="C28" s="36"/>
      <c r="D28" s="36"/>
      <c r="E28" s="36"/>
    </row>
    <row r="29" ht="15.75" customHeight="1">
      <c r="A29" s="36"/>
      <c r="B29" s="36"/>
      <c r="C29" s="36"/>
      <c r="D29" s="36"/>
      <c r="E29" s="36"/>
    </row>
    <row r="30" ht="15.75" customHeight="1">
      <c r="A30" s="36"/>
      <c r="B30" s="36"/>
      <c r="C30" s="36"/>
      <c r="D30" s="36"/>
      <c r="E30" s="36"/>
    </row>
    <row r="31" ht="15.75" customHeight="1">
      <c r="A31" s="36"/>
      <c r="B31" s="36"/>
      <c r="C31" s="36"/>
      <c r="D31" s="36"/>
      <c r="E31" s="36"/>
    </row>
    <row r="32" ht="15.75" customHeight="1">
      <c r="A32" s="36"/>
      <c r="B32" s="36"/>
      <c r="C32" s="36"/>
      <c r="D32" s="36"/>
      <c r="E32" s="36"/>
    </row>
    <row r="33" ht="15.75" customHeight="1">
      <c r="A33" s="36"/>
      <c r="B33" s="36"/>
      <c r="C33" s="36"/>
      <c r="D33" s="36"/>
      <c r="E33" s="36"/>
    </row>
    <row r="34" ht="15.75" customHeight="1">
      <c r="A34" s="36"/>
      <c r="B34" s="36"/>
      <c r="C34" s="36"/>
      <c r="D34" s="36"/>
      <c r="E34" s="36"/>
    </row>
    <row r="35" ht="15.75" customHeight="1">
      <c r="A35" s="36"/>
      <c r="B35" s="36"/>
      <c r="C35" s="36"/>
      <c r="D35" s="36"/>
      <c r="E35" s="36"/>
    </row>
    <row r="36" ht="15.75" customHeight="1">
      <c r="A36" s="36"/>
      <c r="B36" s="36"/>
      <c r="C36" s="36"/>
      <c r="D36" s="36"/>
      <c r="E36" s="36"/>
    </row>
    <row r="37" ht="15.75" customHeight="1">
      <c r="A37" s="36"/>
      <c r="B37" s="36"/>
      <c r="C37" s="36"/>
      <c r="D37" s="36"/>
      <c r="E37" s="36"/>
    </row>
    <row r="38" ht="15.75" customHeight="1">
      <c r="A38" s="36"/>
      <c r="B38" s="36"/>
      <c r="C38" s="36"/>
      <c r="D38" s="36"/>
      <c r="E38" s="36"/>
    </row>
    <row r="39" ht="15.75" customHeight="1">
      <c r="A39" s="36"/>
      <c r="B39" s="36"/>
      <c r="C39" s="36"/>
      <c r="D39" s="36"/>
      <c r="E39" s="36"/>
    </row>
    <row r="40" ht="15.75" customHeight="1">
      <c r="A40" s="36"/>
      <c r="B40" s="36"/>
      <c r="C40" s="36"/>
      <c r="D40" s="36"/>
      <c r="E40" s="36"/>
    </row>
    <row r="41" ht="15.75" customHeight="1">
      <c r="A41" s="36"/>
      <c r="B41" s="36"/>
      <c r="C41" s="36"/>
      <c r="D41" s="36"/>
      <c r="E41" s="36"/>
    </row>
    <row r="42" ht="15.75" customHeight="1">
      <c r="A42" s="36"/>
      <c r="B42" s="36"/>
      <c r="C42" s="36"/>
      <c r="D42" s="36"/>
      <c r="E42" s="36"/>
    </row>
    <row r="43" ht="15.75" customHeight="1">
      <c r="A43" s="36"/>
      <c r="B43" s="36"/>
      <c r="C43" s="36"/>
      <c r="D43" s="36"/>
      <c r="E43" s="36"/>
    </row>
    <row r="44" ht="15.75" customHeight="1">
      <c r="A44" s="36"/>
      <c r="B44" s="36"/>
      <c r="C44" s="36"/>
      <c r="D44" s="36"/>
      <c r="E44" s="36"/>
    </row>
    <row r="45" ht="15.75" customHeight="1">
      <c r="A45" s="36"/>
      <c r="B45" s="36"/>
      <c r="C45" s="36"/>
      <c r="D45" s="36"/>
      <c r="E45" s="36"/>
    </row>
    <row r="46" ht="15.75" customHeight="1">
      <c r="A46" s="36"/>
      <c r="B46" s="36"/>
      <c r="C46" s="36"/>
      <c r="D46" s="36"/>
      <c r="E46" s="36"/>
    </row>
    <row r="47" ht="15.75" customHeight="1">
      <c r="A47" s="36"/>
      <c r="B47" s="36"/>
      <c r="C47" s="36"/>
      <c r="D47" s="36"/>
      <c r="E47" s="36"/>
    </row>
    <row r="48" ht="15.75" customHeight="1">
      <c r="A48" s="36"/>
      <c r="B48" s="36"/>
      <c r="C48" s="36"/>
      <c r="D48" s="36"/>
      <c r="E48" s="36"/>
    </row>
    <row r="49" ht="15.75" customHeight="1">
      <c r="A49" s="36"/>
      <c r="B49" s="36"/>
      <c r="C49" s="36"/>
      <c r="D49" s="36"/>
      <c r="E49" s="36"/>
    </row>
    <row r="50" ht="15.75" customHeight="1">
      <c r="A50" s="36"/>
      <c r="B50" s="36"/>
      <c r="C50" s="36"/>
      <c r="D50" s="36"/>
      <c r="E50" s="36"/>
    </row>
    <row r="51" ht="15.75" customHeight="1">
      <c r="A51" s="36"/>
      <c r="B51" s="36"/>
      <c r="C51" s="36"/>
      <c r="D51" s="36"/>
      <c r="E51" s="36"/>
    </row>
    <row r="52" ht="15.75" customHeight="1">
      <c r="A52" s="36"/>
      <c r="B52" s="36"/>
      <c r="C52" s="36"/>
      <c r="D52" s="36"/>
      <c r="E52" s="36"/>
    </row>
    <row r="53" ht="15.75" customHeight="1">
      <c r="A53" s="36"/>
      <c r="B53" s="36"/>
      <c r="C53" s="36"/>
      <c r="D53" s="36"/>
      <c r="E53" s="36"/>
    </row>
    <row r="54" ht="15.75" customHeight="1">
      <c r="A54" s="36"/>
      <c r="B54" s="36"/>
      <c r="C54" s="36"/>
      <c r="D54" s="36"/>
      <c r="E54" s="36"/>
    </row>
    <row r="55" ht="15.75" customHeight="1">
      <c r="A55" s="36"/>
      <c r="B55" s="36"/>
      <c r="C55" s="36"/>
      <c r="D55" s="36"/>
      <c r="E55" s="36"/>
    </row>
    <row r="56" ht="15.75" customHeight="1">
      <c r="A56" s="36"/>
      <c r="B56" s="36"/>
      <c r="C56" s="36"/>
      <c r="D56" s="36"/>
      <c r="E56" s="36"/>
    </row>
    <row r="57" ht="15.75" customHeight="1">
      <c r="A57" s="36"/>
      <c r="B57" s="36"/>
      <c r="C57" s="36"/>
      <c r="D57" s="36"/>
      <c r="E57" s="36"/>
    </row>
    <row r="58" ht="15.75" customHeight="1">
      <c r="A58" s="36"/>
      <c r="B58" s="36"/>
      <c r="C58" s="36"/>
      <c r="D58" s="36"/>
      <c r="E58" s="36"/>
    </row>
    <row r="59" ht="15.75" customHeight="1">
      <c r="A59" s="36"/>
      <c r="B59" s="36"/>
      <c r="C59" s="36"/>
      <c r="D59" s="36"/>
      <c r="E59" s="36"/>
    </row>
    <row r="60" ht="15.75" customHeight="1">
      <c r="A60" s="36"/>
      <c r="B60" s="36"/>
      <c r="C60" s="36"/>
      <c r="D60" s="36"/>
      <c r="E60" s="36"/>
    </row>
    <row r="61" ht="15.75" customHeight="1">
      <c r="A61" s="36"/>
      <c r="B61" s="36"/>
      <c r="C61" s="36"/>
      <c r="D61" s="36"/>
      <c r="E61" s="36"/>
    </row>
    <row r="62" ht="15.75" customHeight="1">
      <c r="A62" s="36"/>
      <c r="B62" s="36"/>
      <c r="C62" s="36"/>
      <c r="D62" s="36"/>
      <c r="E62" s="36"/>
    </row>
    <row r="63" ht="15.75" customHeight="1">
      <c r="A63" s="36"/>
      <c r="B63" s="36"/>
      <c r="C63" s="36"/>
      <c r="D63" s="36"/>
      <c r="E63" s="36"/>
    </row>
    <row r="64" ht="15.75" customHeight="1">
      <c r="A64" s="36"/>
      <c r="B64" s="36"/>
      <c r="C64" s="36"/>
      <c r="D64" s="36"/>
      <c r="E64" s="36"/>
    </row>
    <row r="65" ht="15.75" customHeight="1">
      <c r="A65" s="36"/>
      <c r="B65" s="36"/>
      <c r="C65" s="36"/>
      <c r="D65" s="36"/>
      <c r="E65" s="36"/>
    </row>
    <row r="66" ht="15.75" customHeight="1">
      <c r="A66" s="36"/>
      <c r="B66" s="36"/>
      <c r="C66" s="36"/>
      <c r="D66" s="36"/>
      <c r="E66" s="36"/>
    </row>
    <row r="67" ht="15.75" customHeight="1">
      <c r="A67" s="36"/>
      <c r="B67" s="36"/>
      <c r="C67" s="36"/>
      <c r="D67" s="36"/>
      <c r="E67" s="36"/>
    </row>
    <row r="68" ht="15.75" customHeight="1">
      <c r="A68" s="36"/>
      <c r="B68" s="36"/>
      <c r="C68" s="36"/>
      <c r="D68" s="36"/>
      <c r="E68" s="36"/>
    </row>
    <row r="69" ht="15.75" customHeight="1">
      <c r="A69" s="36"/>
      <c r="B69" s="36"/>
      <c r="C69" s="36"/>
      <c r="D69" s="36"/>
      <c r="E69" s="36"/>
    </row>
    <row r="70" ht="15.75" customHeight="1">
      <c r="A70" s="36"/>
      <c r="B70" s="36"/>
      <c r="C70" s="36"/>
      <c r="D70" s="36"/>
      <c r="E70" s="36"/>
    </row>
    <row r="71" ht="15.75" customHeight="1">
      <c r="A71" s="36"/>
      <c r="B71" s="36"/>
      <c r="C71" s="36"/>
      <c r="D71" s="36"/>
      <c r="E71" s="36"/>
    </row>
    <row r="72" ht="15.75" customHeight="1">
      <c r="A72" s="36"/>
      <c r="B72" s="36"/>
      <c r="C72" s="36"/>
      <c r="D72" s="36"/>
      <c r="E72" s="36"/>
    </row>
    <row r="73" ht="15.75" customHeight="1">
      <c r="A73" s="36"/>
      <c r="B73" s="36"/>
      <c r="C73" s="36"/>
      <c r="D73" s="36"/>
      <c r="E73" s="36"/>
    </row>
    <row r="74" ht="15.75" customHeight="1">
      <c r="A74" s="36"/>
      <c r="B74" s="36"/>
      <c r="C74" s="36"/>
      <c r="D74" s="36"/>
      <c r="E74" s="36"/>
    </row>
    <row r="75" ht="15.75" customHeight="1">
      <c r="A75" s="36"/>
      <c r="B75" s="36"/>
      <c r="C75" s="36"/>
      <c r="D75" s="36"/>
      <c r="E75" s="36"/>
    </row>
    <row r="76" ht="15.75" customHeight="1">
      <c r="A76" s="36"/>
      <c r="B76" s="36"/>
      <c r="C76" s="36"/>
      <c r="D76" s="36"/>
      <c r="E76" s="36"/>
    </row>
    <row r="77" ht="15.75" customHeight="1">
      <c r="A77" s="36"/>
      <c r="B77" s="36"/>
      <c r="C77" s="36"/>
      <c r="D77" s="36"/>
      <c r="E77" s="36"/>
    </row>
    <row r="78" ht="15.75" customHeight="1">
      <c r="A78" s="36"/>
      <c r="B78" s="36"/>
      <c r="C78" s="36"/>
      <c r="D78" s="36"/>
      <c r="E78" s="36"/>
    </row>
    <row r="79" ht="15.75" customHeight="1">
      <c r="A79" s="36"/>
      <c r="B79" s="36"/>
      <c r="C79" s="36"/>
      <c r="D79" s="36"/>
      <c r="E79" s="36"/>
    </row>
    <row r="80" ht="15.75" customHeight="1">
      <c r="A80" s="36"/>
      <c r="B80" s="36"/>
      <c r="C80" s="36"/>
      <c r="D80" s="36"/>
      <c r="E80" s="36"/>
    </row>
    <row r="81" ht="15.75" customHeight="1">
      <c r="A81" s="36"/>
      <c r="B81" s="36"/>
      <c r="C81" s="36"/>
      <c r="D81" s="36"/>
      <c r="E81" s="36"/>
    </row>
    <row r="82" ht="15.75" customHeight="1">
      <c r="A82" s="36"/>
      <c r="B82" s="36"/>
      <c r="C82" s="36"/>
      <c r="D82" s="36"/>
      <c r="E82" s="36"/>
    </row>
    <row r="83" ht="15.75" customHeight="1">
      <c r="A83" s="36"/>
      <c r="B83" s="36"/>
      <c r="C83" s="36"/>
      <c r="D83" s="36"/>
      <c r="E83" s="36"/>
    </row>
    <row r="84" ht="15.75" customHeight="1">
      <c r="A84" s="36"/>
      <c r="B84" s="36"/>
      <c r="C84" s="36"/>
      <c r="D84" s="36"/>
      <c r="E84" s="36"/>
    </row>
    <row r="85" ht="15.75" customHeight="1">
      <c r="A85" s="36"/>
      <c r="B85" s="36"/>
      <c r="C85" s="36"/>
      <c r="D85" s="36"/>
      <c r="E85" s="36"/>
    </row>
    <row r="86" ht="15.75" customHeight="1">
      <c r="A86" s="36"/>
      <c r="B86" s="36"/>
      <c r="C86" s="36"/>
      <c r="D86" s="36"/>
      <c r="E86" s="36"/>
    </row>
    <row r="87" ht="15.75" customHeight="1">
      <c r="A87" s="36"/>
      <c r="B87" s="36"/>
      <c r="C87" s="36"/>
      <c r="D87" s="36"/>
      <c r="E87" s="36"/>
    </row>
    <row r="88" ht="15.75" customHeight="1">
      <c r="A88" s="36"/>
      <c r="B88" s="36"/>
      <c r="C88" s="36"/>
      <c r="D88" s="36"/>
      <c r="E88" s="36"/>
    </row>
    <row r="89" ht="15.75" customHeight="1">
      <c r="A89" s="36"/>
      <c r="B89" s="36"/>
      <c r="C89" s="36"/>
      <c r="D89" s="36"/>
      <c r="E89" s="36"/>
    </row>
    <row r="90" ht="15.75" customHeight="1">
      <c r="A90" s="36"/>
      <c r="B90" s="36"/>
      <c r="C90" s="36"/>
      <c r="D90" s="36"/>
      <c r="E90" s="36"/>
    </row>
    <row r="91" ht="15.75" customHeight="1">
      <c r="A91" s="36"/>
      <c r="B91" s="36"/>
      <c r="C91" s="36"/>
      <c r="D91" s="36"/>
      <c r="E91" s="36"/>
    </row>
    <row r="92" ht="15.75" customHeight="1">
      <c r="A92" s="36"/>
      <c r="B92" s="36"/>
      <c r="C92" s="36"/>
      <c r="D92" s="36"/>
      <c r="E92" s="36"/>
    </row>
    <row r="93" ht="15.75" customHeight="1">
      <c r="A93" s="36"/>
      <c r="B93" s="36"/>
      <c r="C93" s="36"/>
      <c r="D93" s="36"/>
      <c r="E93" s="36"/>
    </row>
    <row r="94" ht="15.75" customHeight="1">
      <c r="A94" s="36"/>
      <c r="B94" s="36"/>
      <c r="C94" s="36"/>
      <c r="D94" s="36"/>
      <c r="E94" s="36"/>
    </row>
    <row r="95" ht="15.75" customHeight="1">
      <c r="A95" s="36"/>
      <c r="B95" s="36"/>
      <c r="C95" s="36"/>
      <c r="D95" s="36"/>
      <c r="E95" s="36"/>
    </row>
    <row r="96" ht="15.75" customHeight="1">
      <c r="A96" s="36"/>
      <c r="B96" s="36"/>
      <c r="C96" s="36"/>
      <c r="D96" s="36"/>
      <c r="E96" s="36"/>
    </row>
    <row r="97" ht="15.75" customHeight="1">
      <c r="A97" s="36"/>
      <c r="B97" s="36"/>
      <c r="C97" s="36"/>
      <c r="D97" s="36"/>
      <c r="E97" s="36"/>
    </row>
    <row r="98" ht="15.75" customHeight="1">
      <c r="A98" s="36"/>
      <c r="B98" s="36"/>
      <c r="C98" s="36"/>
      <c r="D98" s="36"/>
      <c r="E98" s="36"/>
    </row>
    <row r="99" ht="15.75" customHeight="1">
      <c r="A99" s="36"/>
      <c r="B99" s="36"/>
      <c r="C99" s="36"/>
      <c r="D99" s="36"/>
      <c r="E99" s="36"/>
    </row>
    <row r="100" ht="15.75" customHeight="1">
      <c r="A100" s="36"/>
      <c r="B100" s="36"/>
      <c r="C100" s="36"/>
      <c r="D100" s="36"/>
      <c r="E100" s="36"/>
    </row>
    <row r="101" ht="15.75" customHeight="1">
      <c r="A101" s="36"/>
      <c r="B101" s="36"/>
      <c r="C101" s="36"/>
      <c r="D101" s="36"/>
      <c r="E101" s="36"/>
    </row>
    <row r="102" ht="15.75" customHeight="1">
      <c r="A102" s="36"/>
      <c r="B102" s="36"/>
      <c r="C102" s="36"/>
      <c r="D102" s="36"/>
      <c r="E102" s="36"/>
    </row>
    <row r="103" ht="15.75" customHeight="1">
      <c r="A103" s="36"/>
      <c r="B103" s="36"/>
      <c r="C103" s="36"/>
      <c r="D103" s="36"/>
      <c r="E103" s="36"/>
    </row>
    <row r="104" ht="15.75" customHeight="1">
      <c r="A104" s="36"/>
      <c r="B104" s="36"/>
      <c r="C104" s="36"/>
      <c r="D104" s="36"/>
      <c r="E104" s="36"/>
    </row>
    <row r="105" ht="15.75" customHeight="1">
      <c r="A105" s="36"/>
      <c r="B105" s="36"/>
      <c r="C105" s="36"/>
      <c r="D105" s="36"/>
      <c r="E105" s="36"/>
    </row>
    <row r="106" ht="15.75" customHeight="1">
      <c r="A106" s="36"/>
      <c r="B106" s="36"/>
      <c r="C106" s="36"/>
      <c r="D106" s="36"/>
      <c r="E106" s="36"/>
    </row>
    <row r="107" ht="15.75" customHeight="1">
      <c r="A107" s="36"/>
      <c r="B107" s="36"/>
      <c r="C107" s="36"/>
      <c r="D107" s="36"/>
      <c r="E107" s="36"/>
    </row>
    <row r="108" ht="15.75" customHeight="1">
      <c r="A108" s="36"/>
      <c r="B108" s="36"/>
      <c r="C108" s="36"/>
      <c r="D108" s="36"/>
      <c r="E108" s="36"/>
    </row>
    <row r="109" ht="15.75" customHeight="1">
      <c r="A109" s="36"/>
      <c r="B109" s="36"/>
      <c r="C109" s="36"/>
      <c r="D109" s="36"/>
      <c r="E109" s="36"/>
    </row>
    <row r="110" ht="15.75" customHeight="1">
      <c r="A110" s="36"/>
      <c r="B110" s="36"/>
      <c r="C110" s="36"/>
      <c r="D110" s="36"/>
      <c r="E110" s="36"/>
    </row>
    <row r="111" ht="15.75" customHeight="1">
      <c r="A111" s="36"/>
      <c r="B111" s="36"/>
      <c r="C111" s="36"/>
      <c r="D111" s="36"/>
      <c r="E111" s="36"/>
    </row>
    <row r="112" ht="15.75" customHeight="1">
      <c r="A112" s="36"/>
      <c r="B112" s="36"/>
      <c r="C112" s="36"/>
      <c r="D112" s="36"/>
      <c r="E112" s="36"/>
    </row>
    <row r="113" ht="15.75" customHeight="1">
      <c r="A113" s="36"/>
      <c r="B113" s="36"/>
      <c r="C113" s="36"/>
      <c r="D113" s="36"/>
      <c r="E113" s="36"/>
    </row>
    <row r="114" ht="15.75" customHeight="1">
      <c r="A114" s="36"/>
      <c r="B114" s="36"/>
      <c r="C114" s="36"/>
      <c r="D114" s="36"/>
      <c r="E114" s="36"/>
    </row>
    <row r="115" ht="15.75" customHeight="1">
      <c r="A115" s="36"/>
      <c r="B115" s="36"/>
      <c r="C115" s="36"/>
      <c r="D115" s="36"/>
      <c r="E115" s="36"/>
    </row>
    <row r="116" ht="15.75" customHeight="1">
      <c r="A116" s="36"/>
      <c r="B116" s="36"/>
      <c r="C116" s="36"/>
      <c r="D116" s="36"/>
      <c r="E116" s="36"/>
    </row>
    <row r="117" ht="15.75" customHeight="1">
      <c r="A117" s="36"/>
      <c r="B117" s="36"/>
      <c r="C117" s="36"/>
      <c r="D117" s="36"/>
      <c r="E117" s="36"/>
    </row>
    <row r="118" ht="15.75" customHeight="1">
      <c r="A118" s="36"/>
      <c r="B118" s="36"/>
      <c r="C118" s="36"/>
      <c r="D118" s="36"/>
      <c r="E118" s="36"/>
    </row>
    <row r="119" ht="15.75" customHeight="1">
      <c r="A119" s="36"/>
      <c r="B119" s="36"/>
      <c r="C119" s="36"/>
      <c r="D119" s="36"/>
      <c r="E119" s="36"/>
    </row>
    <row r="120" ht="15.75" customHeight="1">
      <c r="A120" s="36"/>
      <c r="B120" s="36"/>
      <c r="C120" s="36"/>
      <c r="D120" s="36"/>
      <c r="E120" s="36"/>
    </row>
    <row r="121" ht="15.75" customHeight="1">
      <c r="A121" s="36"/>
      <c r="B121" s="36"/>
      <c r="C121" s="36"/>
      <c r="D121" s="36"/>
      <c r="E121" s="36"/>
    </row>
    <row r="122" ht="15.75" customHeight="1">
      <c r="A122" s="36"/>
      <c r="B122" s="36"/>
      <c r="C122" s="36"/>
      <c r="D122" s="36"/>
      <c r="E122" s="36"/>
    </row>
    <row r="123" ht="15.75" customHeight="1">
      <c r="A123" s="36"/>
      <c r="B123" s="36"/>
      <c r="C123" s="36"/>
      <c r="D123" s="36"/>
      <c r="E123" s="36"/>
    </row>
    <row r="124" ht="15.75" customHeight="1">
      <c r="A124" s="36"/>
      <c r="B124" s="36"/>
      <c r="C124" s="36"/>
      <c r="D124" s="36"/>
      <c r="E124" s="36"/>
    </row>
    <row r="125" ht="15.75" customHeight="1">
      <c r="A125" s="36"/>
      <c r="B125" s="36"/>
      <c r="C125" s="36"/>
      <c r="D125" s="36"/>
      <c r="E125" s="36"/>
    </row>
    <row r="126" ht="15.75" customHeight="1">
      <c r="A126" s="36"/>
      <c r="B126" s="36"/>
      <c r="C126" s="36"/>
      <c r="D126" s="36"/>
      <c r="E126" s="36"/>
    </row>
    <row r="127" ht="15.75" customHeight="1">
      <c r="A127" s="36"/>
      <c r="B127" s="36"/>
      <c r="C127" s="36"/>
      <c r="D127" s="36"/>
      <c r="E127" s="36"/>
    </row>
    <row r="128" ht="15.75" customHeight="1">
      <c r="A128" s="36"/>
      <c r="B128" s="36"/>
      <c r="C128" s="36"/>
      <c r="D128" s="36"/>
      <c r="E128" s="36"/>
    </row>
    <row r="129" ht="15.75" customHeight="1">
      <c r="A129" s="36"/>
      <c r="B129" s="36"/>
      <c r="C129" s="36"/>
      <c r="D129" s="36"/>
      <c r="E129" s="36"/>
    </row>
    <row r="130" ht="15.75" customHeight="1">
      <c r="A130" s="36"/>
      <c r="B130" s="36"/>
      <c r="C130" s="36"/>
      <c r="D130" s="36"/>
      <c r="E130" s="36"/>
    </row>
    <row r="131" ht="15.75" customHeight="1">
      <c r="A131" s="36"/>
      <c r="B131" s="36"/>
      <c r="C131" s="36"/>
      <c r="D131" s="36"/>
      <c r="E131" s="36"/>
    </row>
    <row r="132" ht="15.75" customHeight="1">
      <c r="A132" s="36"/>
      <c r="B132" s="36"/>
      <c r="C132" s="36"/>
      <c r="D132" s="36"/>
      <c r="E132" s="36"/>
    </row>
    <row r="133" ht="15.75" customHeight="1">
      <c r="A133" s="36"/>
      <c r="B133" s="36"/>
      <c r="C133" s="36"/>
      <c r="D133" s="36"/>
      <c r="E133" s="36"/>
    </row>
    <row r="134" ht="15.75" customHeight="1">
      <c r="A134" s="36"/>
      <c r="B134" s="36"/>
      <c r="C134" s="36"/>
      <c r="D134" s="36"/>
      <c r="E134" s="36"/>
    </row>
    <row r="135" ht="15.75" customHeight="1">
      <c r="A135" s="36"/>
      <c r="B135" s="36"/>
      <c r="C135" s="36"/>
      <c r="D135" s="36"/>
      <c r="E135" s="36"/>
    </row>
    <row r="136" ht="15.75" customHeight="1">
      <c r="A136" s="36"/>
      <c r="B136" s="36"/>
      <c r="C136" s="36"/>
      <c r="D136" s="36"/>
      <c r="E136" s="36"/>
    </row>
    <row r="137" ht="15.75" customHeight="1">
      <c r="A137" s="36"/>
      <c r="B137" s="36"/>
      <c r="C137" s="36"/>
      <c r="D137" s="36"/>
      <c r="E137" s="36"/>
    </row>
    <row r="138" ht="15.75" customHeight="1">
      <c r="A138" s="36"/>
      <c r="B138" s="36"/>
      <c r="C138" s="36"/>
      <c r="D138" s="36"/>
      <c r="E138" s="36"/>
    </row>
    <row r="139" ht="15.75" customHeight="1">
      <c r="A139" s="36"/>
      <c r="B139" s="36"/>
      <c r="C139" s="36"/>
      <c r="D139" s="36"/>
      <c r="E139" s="36"/>
    </row>
    <row r="140" ht="15.75" customHeight="1">
      <c r="A140" s="36"/>
      <c r="B140" s="36"/>
      <c r="C140" s="36"/>
      <c r="D140" s="36"/>
      <c r="E140" s="36"/>
    </row>
    <row r="141" ht="15.75" customHeight="1">
      <c r="A141" s="36"/>
      <c r="B141" s="36"/>
      <c r="C141" s="36"/>
      <c r="D141" s="36"/>
      <c r="E141" s="36"/>
    </row>
    <row r="142" ht="15.75" customHeight="1">
      <c r="A142" s="36"/>
      <c r="B142" s="36"/>
      <c r="C142" s="36"/>
      <c r="D142" s="36"/>
      <c r="E142" s="36"/>
    </row>
    <row r="143" ht="15.75" customHeight="1">
      <c r="A143" s="36"/>
      <c r="B143" s="36"/>
      <c r="C143" s="36"/>
      <c r="D143" s="36"/>
      <c r="E143" s="36"/>
    </row>
    <row r="144" ht="15.75" customHeight="1">
      <c r="A144" s="36"/>
      <c r="B144" s="36"/>
      <c r="C144" s="36"/>
      <c r="D144" s="36"/>
      <c r="E144" s="36"/>
    </row>
    <row r="145" ht="15.75" customHeight="1">
      <c r="A145" s="36"/>
      <c r="B145" s="36"/>
      <c r="C145" s="36"/>
      <c r="D145" s="36"/>
      <c r="E145" s="36"/>
    </row>
    <row r="146" ht="15.75" customHeight="1">
      <c r="A146" s="36"/>
      <c r="B146" s="36"/>
      <c r="C146" s="36"/>
      <c r="D146" s="36"/>
      <c r="E146" s="36"/>
    </row>
    <row r="147" ht="15.75" customHeight="1">
      <c r="A147" s="36"/>
      <c r="B147" s="36"/>
      <c r="C147" s="36"/>
      <c r="D147" s="36"/>
      <c r="E147" s="36"/>
    </row>
    <row r="148" ht="15.75" customHeight="1">
      <c r="A148" s="36"/>
      <c r="B148" s="36"/>
      <c r="C148" s="36"/>
      <c r="D148" s="36"/>
      <c r="E148" s="36"/>
    </row>
    <row r="149" ht="15.75" customHeight="1">
      <c r="A149" s="36"/>
      <c r="B149" s="36"/>
      <c r="C149" s="36"/>
      <c r="D149" s="36"/>
      <c r="E149" s="36"/>
    </row>
    <row r="150" ht="15.75" customHeight="1">
      <c r="A150" s="36"/>
      <c r="B150" s="36"/>
      <c r="C150" s="36"/>
      <c r="D150" s="36"/>
      <c r="E150" s="36"/>
    </row>
    <row r="151" ht="15.75" customHeight="1">
      <c r="A151" s="36"/>
      <c r="B151" s="36"/>
      <c r="C151" s="36"/>
      <c r="D151" s="36"/>
      <c r="E151" s="36"/>
    </row>
    <row r="152" ht="15.75" customHeight="1">
      <c r="A152" s="36"/>
      <c r="B152" s="36"/>
      <c r="C152" s="36"/>
      <c r="D152" s="36"/>
      <c r="E152" s="36"/>
    </row>
    <row r="153" ht="15.75" customHeight="1">
      <c r="A153" s="36"/>
      <c r="B153" s="36"/>
      <c r="C153" s="36"/>
      <c r="D153" s="36"/>
      <c r="E153" s="36"/>
    </row>
    <row r="154" ht="15.75" customHeight="1">
      <c r="A154" s="36"/>
      <c r="B154" s="36"/>
      <c r="C154" s="36"/>
      <c r="D154" s="36"/>
      <c r="E154" s="36"/>
    </row>
    <row r="155" ht="15.75" customHeight="1">
      <c r="A155" s="36"/>
      <c r="B155" s="36"/>
      <c r="C155" s="36"/>
      <c r="D155" s="36"/>
      <c r="E155" s="36"/>
    </row>
    <row r="156" ht="15.75" customHeight="1">
      <c r="A156" s="36"/>
      <c r="B156" s="36"/>
      <c r="C156" s="36"/>
      <c r="D156" s="36"/>
      <c r="E156" s="36"/>
    </row>
    <row r="157" ht="15.75" customHeight="1">
      <c r="A157" s="36"/>
      <c r="B157" s="36"/>
      <c r="C157" s="36"/>
      <c r="D157" s="36"/>
      <c r="E157" s="36"/>
    </row>
    <row r="158" ht="15.75" customHeight="1">
      <c r="A158" s="36"/>
      <c r="B158" s="36"/>
      <c r="C158" s="36"/>
      <c r="D158" s="36"/>
      <c r="E158" s="36"/>
    </row>
    <row r="159" ht="15.75" customHeight="1">
      <c r="A159" s="36"/>
      <c r="B159" s="36"/>
      <c r="C159" s="36"/>
      <c r="D159" s="36"/>
      <c r="E159" s="36"/>
    </row>
    <row r="160" ht="15.75" customHeight="1">
      <c r="A160" s="36"/>
      <c r="B160" s="36"/>
      <c r="C160" s="36"/>
      <c r="D160" s="36"/>
      <c r="E160" s="36"/>
    </row>
    <row r="161" ht="15.75" customHeight="1">
      <c r="A161" s="36"/>
      <c r="B161" s="36"/>
      <c r="C161" s="36"/>
      <c r="D161" s="36"/>
      <c r="E161" s="36"/>
    </row>
    <row r="162" ht="15.75" customHeight="1">
      <c r="A162" s="36"/>
      <c r="B162" s="36"/>
      <c r="C162" s="36"/>
      <c r="D162" s="36"/>
      <c r="E162" s="36"/>
    </row>
    <row r="163" ht="15.75" customHeight="1">
      <c r="A163" s="36"/>
      <c r="B163" s="36"/>
      <c r="C163" s="36"/>
      <c r="D163" s="36"/>
      <c r="E163" s="36"/>
    </row>
    <row r="164" ht="15.75" customHeight="1">
      <c r="A164" s="36"/>
      <c r="B164" s="36"/>
      <c r="C164" s="36"/>
      <c r="D164" s="36"/>
      <c r="E164" s="36"/>
    </row>
    <row r="165" ht="15.75" customHeight="1">
      <c r="A165" s="36"/>
      <c r="B165" s="36"/>
      <c r="C165" s="36"/>
      <c r="D165" s="36"/>
      <c r="E165" s="36"/>
    </row>
    <row r="166" ht="15.75" customHeight="1">
      <c r="A166" s="36"/>
      <c r="B166" s="36"/>
      <c r="C166" s="36"/>
      <c r="D166" s="36"/>
      <c r="E166" s="36"/>
    </row>
    <row r="167" ht="15.75" customHeight="1">
      <c r="A167" s="36"/>
      <c r="B167" s="36"/>
      <c r="C167" s="36"/>
      <c r="D167" s="36"/>
      <c r="E167" s="36"/>
    </row>
    <row r="168" ht="15.75" customHeight="1">
      <c r="A168" s="36"/>
      <c r="B168" s="36"/>
      <c r="C168" s="36"/>
      <c r="D168" s="36"/>
      <c r="E168" s="36"/>
    </row>
    <row r="169" ht="15.75" customHeight="1">
      <c r="A169" s="36"/>
      <c r="B169" s="36"/>
      <c r="C169" s="36"/>
      <c r="D169" s="36"/>
      <c r="E169" s="36"/>
    </row>
    <row r="170" ht="15.75" customHeight="1">
      <c r="A170" s="36"/>
      <c r="B170" s="36"/>
      <c r="C170" s="36"/>
      <c r="D170" s="36"/>
      <c r="E170" s="36"/>
    </row>
    <row r="171" ht="15.75" customHeight="1">
      <c r="A171" s="36"/>
      <c r="B171" s="36"/>
      <c r="C171" s="36"/>
      <c r="D171" s="36"/>
      <c r="E171" s="36"/>
    </row>
    <row r="172" ht="15.75" customHeight="1">
      <c r="A172" s="36"/>
      <c r="B172" s="36"/>
      <c r="C172" s="36"/>
      <c r="D172" s="36"/>
      <c r="E172" s="36"/>
    </row>
    <row r="173" ht="15.75" customHeight="1">
      <c r="A173" s="36"/>
      <c r="B173" s="36"/>
      <c r="C173" s="36"/>
      <c r="D173" s="36"/>
      <c r="E173" s="36"/>
    </row>
    <row r="174" ht="15.75" customHeight="1">
      <c r="A174" s="36"/>
      <c r="B174" s="36"/>
      <c r="C174" s="36"/>
      <c r="D174" s="36"/>
      <c r="E174" s="36"/>
    </row>
    <row r="175" ht="15.75" customHeight="1">
      <c r="A175" s="36"/>
      <c r="B175" s="36"/>
      <c r="C175" s="36"/>
      <c r="D175" s="36"/>
      <c r="E175" s="36"/>
    </row>
    <row r="176" ht="15.75" customHeight="1">
      <c r="A176" s="36"/>
      <c r="B176" s="36"/>
      <c r="C176" s="36"/>
      <c r="D176" s="36"/>
      <c r="E176" s="36"/>
    </row>
    <row r="177" ht="15.75" customHeight="1">
      <c r="A177" s="36"/>
      <c r="B177" s="36"/>
      <c r="C177" s="36"/>
      <c r="D177" s="36"/>
      <c r="E177" s="36"/>
    </row>
    <row r="178" ht="15.75" customHeight="1">
      <c r="A178" s="36"/>
      <c r="B178" s="36"/>
      <c r="C178" s="36"/>
      <c r="D178" s="36"/>
      <c r="E178" s="36"/>
    </row>
    <row r="179" ht="15.75" customHeight="1">
      <c r="A179" s="36"/>
      <c r="B179" s="36"/>
      <c r="C179" s="36"/>
      <c r="D179" s="36"/>
      <c r="E179" s="36"/>
    </row>
    <row r="180" ht="15.75" customHeight="1">
      <c r="A180" s="36"/>
      <c r="B180" s="36"/>
      <c r="C180" s="36"/>
      <c r="D180" s="36"/>
      <c r="E180" s="36"/>
    </row>
    <row r="181" ht="15.75" customHeight="1">
      <c r="A181" s="36"/>
      <c r="B181" s="36"/>
      <c r="C181" s="36"/>
      <c r="D181" s="36"/>
      <c r="E181" s="36"/>
    </row>
    <row r="182" ht="15.75" customHeight="1">
      <c r="A182" s="36"/>
      <c r="B182" s="36"/>
      <c r="C182" s="36"/>
      <c r="D182" s="36"/>
      <c r="E182" s="36"/>
    </row>
    <row r="183" ht="15.75" customHeight="1">
      <c r="A183" s="36"/>
      <c r="B183" s="36"/>
      <c r="C183" s="36"/>
      <c r="D183" s="36"/>
      <c r="E183" s="36"/>
    </row>
    <row r="184" ht="15.75" customHeight="1">
      <c r="A184" s="36"/>
      <c r="B184" s="36"/>
      <c r="C184" s="36"/>
      <c r="D184" s="36"/>
      <c r="E184" s="36"/>
    </row>
    <row r="185" ht="15.75" customHeight="1">
      <c r="A185" s="36"/>
      <c r="B185" s="36"/>
      <c r="C185" s="36"/>
      <c r="D185" s="36"/>
      <c r="E185" s="36"/>
    </row>
    <row r="186" ht="15.75" customHeight="1">
      <c r="A186" s="36"/>
      <c r="B186" s="36"/>
      <c r="C186" s="36"/>
      <c r="D186" s="36"/>
      <c r="E186" s="36"/>
    </row>
    <row r="187" ht="15.75" customHeight="1">
      <c r="A187" s="36"/>
      <c r="B187" s="36"/>
      <c r="C187" s="36"/>
      <c r="D187" s="36"/>
      <c r="E187" s="36"/>
    </row>
    <row r="188" ht="15.75" customHeight="1">
      <c r="A188" s="36"/>
      <c r="B188" s="36"/>
      <c r="C188" s="36"/>
      <c r="D188" s="36"/>
      <c r="E188" s="36"/>
    </row>
    <row r="189" ht="15.75" customHeight="1">
      <c r="A189" s="36"/>
      <c r="B189" s="36"/>
      <c r="C189" s="36"/>
      <c r="D189" s="36"/>
      <c r="E189" s="36"/>
    </row>
    <row r="190" ht="15.75" customHeight="1">
      <c r="A190" s="36"/>
      <c r="B190" s="36"/>
      <c r="C190" s="36"/>
      <c r="D190" s="36"/>
      <c r="E190" s="36"/>
    </row>
    <row r="191" ht="15.75" customHeight="1">
      <c r="A191" s="36"/>
      <c r="B191" s="36"/>
      <c r="C191" s="36"/>
      <c r="D191" s="36"/>
      <c r="E191" s="36"/>
    </row>
    <row r="192" ht="15.75" customHeight="1">
      <c r="A192" s="36"/>
      <c r="B192" s="36"/>
      <c r="C192" s="36"/>
      <c r="D192" s="36"/>
      <c r="E192" s="36"/>
    </row>
    <row r="193" ht="15.75" customHeight="1">
      <c r="A193" s="36"/>
      <c r="B193" s="36"/>
      <c r="C193" s="36"/>
      <c r="D193" s="36"/>
      <c r="E193" s="36"/>
    </row>
    <row r="194" ht="15.75" customHeight="1">
      <c r="A194" s="36"/>
      <c r="B194" s="36"/>
      <c r="C194" s="36"/>
      <c r="D194" s="36"/>
      <c r="E194" s="36"/>
    </row>
    <row r="195" ht="15.75" customHeight="1">
      <c r="A195" s="36"/>
      <c r="B195" s="36"/>
      <c r="C195" s="36"/>
      <c r="D195" s="36"/>
      <c r="E195" s="36"/>
    </row>
    <row r="196" ht="15.75" customHeight="1">
      <c r="A196" s="36"/>
      <c r="B196" s="36"/>
      <c r="C196" s="36"/>
      <c r="D196" s="36"/>
      <c r="E196" s="36"/>
    </row>
    <row r="197" ht="15.75" customHeight="1">
      <c r="A197" s="36"/>
      <c r="B197" s="36"/>
      <c r="C197" s="36"/>
      <c r="D197" s="36"/>
      <c r="E197" s="36"/>
    </row>
    <row r="198" ht="15.75" customHeight="1">
      <c r="A198" s="36"/>
      <c r="B198" s="36"/>
      <c r="C198" s="36"/>
      <c r="D198" s="36"/>
      <c r="E198" s="36"/>
    </row>
    <row r="199" ht="15.75" customHeight="1">
      <c r="A199" s="36"/>
      <c r="B199" s="36"/>
      <c r="C199" s="36"/>
      <c r="D199" s="36"/>
      <c r="E199" s="36"/>
    </row>
    <row r="200" ht="15.75" customHeight="1">
      <c r="A200" s="36"/>
      <c r="B200" s="36"/>
      <c r="C200" s="36"/>
      <c r="D200" s="36"/>
      <c r="E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0.0"/>
    <col customWidth="1" min="3" max="5" width="22.0"/>
    <col customWidth="1" min="6" max="6" width="8.63"/>
    <col customWidth="1" min="7" max="11" width="18.0"/>
    <col customWidth="1" min="12" max="26" width="8.63"/>
  </cols>
  <sheetData>
    <row r="1">
      <c r="A1" s="76" t="s">
        <v>933</v>
      </c>
    </row>
    <row r="2">
      <c r="A2" s="77" t="s">
        <v>934</v>
      </c>
    </row>
    <row r="4">
      <c r="A4" s="78" t="s">
        <v>16</v>
      </c>
      <c r="B4" s="79" t="str">
        <f>Dashboard!B4</f>
        <v>XAGUSD</v>
      </c>
      <c r="D4" s="80" t="s">
        <v>74</v>
      </c>
      <c r="E4" s="79" t="str">
        <f>IF(ISNUMBER(SEARCH("Bearish",B6)),"Bearish",IF(ISNUMBER(SEARCH("Bullish",B6)),"Bullish","Neutral"))</f>
        <v>Neutral</v>
      </c>
      <c r="G4" s="80" t="s">
        <v>935</v>
      </c>
      <c r="H4" s="79">
        <f>IFERROR(Health_Check!B4,"")</f>
        <v>0</v>
      </c>
    </row>
    <row r="5">
      <c r="A5" s="78"/>
      <c r="B5" s="79"/>
      <c r="D5" s="80"/>
      <c r="E5" s="79"/>
      <c r="G5" s="80"/>
      <c r="H5" s="79"/>
    </row>
    <row r="6">
      <c r="A6" s="78" t="s">
        <v>936</v>
      </c>
      <c r="B6" s="79" t="str">
        <f t="array" ref="B6">IFERROR(INDEX(Signal_Engine!$AT:$AT,MATCH($B$4,Signal_Engine!$A:$A,0)),"")</f>
        <v>Neutral / Mixed</v>
      </c>
      <c r="D6" s="80" t="s">
        <v>62</v>
      </c>
      <c r="E6" s="79" t="str">
        <f t="array" ref="E6">IFERROR(ROUND(MAX(INDEX(Signal_Engine!$AQ:$AQ,MATCH($B$4,Signal_Engine!$A:$A,0)),INDEX(Signal_Engine!$AR:$AR,MATCH($B$4,Signal_Engine!$A:$A,0)))*100,0)&amp;"/100","")</f>
        <v>6/100</v>
      </c>
      <c r="G6" s="80" t="s">
        <v>937</v>
      </c>
      <c r="H6" s="79" t="str">
        <f t="array" ref="H6">IFERROR(ROUND((MAX(INDEX(Signal_Engine!$AQ:$AQ,MATCH($B$4,Signal_Engine!$A:$A,0)),INDEX(Signal_Engine!$AR:$AR,MATCH($B$4,Signal_Engine!$A:$A,0)))*0.55+IF(INDEX(Timing!$H:$H,SUMPRODUCT((Timing!$A$2:$A$17=$B$4)*(Timing!$B$2:$B$17=$E$4)*ROW(Timing!$H$2:$H$17)))="High",0.25,IF(INDEX(Timing!$H:$H,SUMPRODUCT((Timing!$A$2:$A$17=$B$4)*(Timing!$B$2:$B$17=$E$4)*ROW(Timing!$H$2:$H$17)))="Moderate-High",0.18,0.1))+IF(INDEX(Seasonality!$E:$E,SUMPRODUCT((Seasonality!$A$2:$A$200=$B$4)*(Seasonality!$B$2:$B$200=TEXT(TODAY(),"mmmm"))*ROW(Seasonality!$E$2:$E$200)))="Strong",0.2,IF(INDEX(Seasonality!$E:$E,SUMPRODUCT((Seasonality!$A$2:$A$200=$B$4)*(Seasonality!$B$2:$B$200=TEXT(TODAY(),"mmmm"))*ROW(Seasonality!$E$2:$E$200)))="Moderate",0.12,0.05)))*100,0)&amp;"%","Needs data")</f>
        <v>49%</v>
      </c>
    </row>
    <row r="7">
      <c r="A7" s="78"/>
      <c r="B7" s="79"/>
    </row>
    <row r="8">
      <c r="A8" s="78" t="s">
        <v>938</v>
      </c>
      <c r="B8" s="79" t="str">
        <f t="array" ref="B8">IFERROR(IF(AND(INDEX(Signal_Engine!$AI:$AI,MATCH($B$4,Signal_Engine!$A:$A,0))&lt;0,INDEX(Signal_Engine!$AM:$AM,MATCH($B$4,Signal_Engine!$A:$A,0))&lt;0),"Commercial liquidation + rising real-yield pressure",IF(AND(INDEX(Signal_Engine!$AI:$AI,MATCH($B$4,Signal_Engine!$A:$A,0))&gt;0,INDEX(Signal_Engine!$AM:$AM,MATCH($B$4,Signal_Engine!$A:$A,0))&gt;0),"Commercial accumulation + falling real-yield relief",IF(AND(INDEX(Signal_Engine!$AI:$AI,MATCH($B$4,Signal_Engine!$A:$A,0))&gt;0,INDEX(Signal_Engine!$AM:$AM,MATCH($B$4,Signal_Engine!$A:$A,0))&lt;0),"Commercial accumulation vs rising real-yield pressure",IF(AND(INDEX(Signal_Engine!$AI:$AI,MATCH($B$4,Signal_Engine!$A:$A,0))&lt;0,INDEX(Signal_Engine!$AM:$AM,MATCH($B$4,Signal_Engine!$A:$A,0))&gt;0),"Commercial liquidation vs falling real-yield relief","Mixed crosscurrents / no dominant conflict")))),"")</f>
        <v>Mixed crosscurrents / no dominant conflict</v>
      </c>
    </row>
    <row r="9">
      <c r="A9" s="78"/>
      <c r="B9" s="79"/>
    </row>
    <row r="10">
      <c r="A10" s="78" t="s">
        <v>939</v>
      </c>
      <c r="B10" s="79" t="str">
        <f t="array" ref="B10">IFERROR("Weekly High: "&amp;INDEX(Timing!$C:$C,SUMPRODUCT((Timing!$A$2:$A$17=$B$4)*(Timing!$B$2:$B$17=$E$4)*ROW(Timing!$C$2:$C$17)))&amp;" | Weekly Low: "&amp;INDEX(Timing!$D:$D,SUMPRODUCT((Timing!$A$2:$A$17=$B$4)*(Timing!$B$2:$B$17=$E$4)*ROW(Timing!$D$2:$D$17)))&amp;" | Primary: "&amp;INDEX(Timing!$E:$E,SUMPRODUCT((Timing!$A$2:$A$17=$B$4)*(Timing!$B$2:$B$17=$E$4)*ROW(Timing!$E$2:$E$17))),"Timing data pending")</f>
        <v>Weekly High: Friday (35.8%) | Sun–Tue high 35.8% | Weekly Low: Sunday (20.7%) | Sun–Tue low 52.5% | Primary: High 09:00 ET (15.1%) / Low 18:00 ET (18.4%)</v>
      </c>
    </row>
    <row r="11">
      <c r="A11" s="78"/>
      <c r="B11" s="79"/>
    </row>
    <row r="12">
      <c r="A12" s="78" t="s">
        <v>940</v>
      </c>
      <c r="B12" s="79" t="str">
        <f t="array" ref="B12">IFERROR(INDEX(Signal_Engine!$AD:$AD,MATCH($B$4,Signal_Engine!$A:$A,0))&amp;" "&amp;INDEX(Timing!$G:$G,SUMPRODUCT((Timing!$A$2:$A$17=$B$4)*(Timing!$B$2:$B$17=$E$4)*ROW(Timing!$G$2:$G$17))),"Check dashboard tabs for details.")</f>
        <v>Mixed machine; wait for cleaner alignment. Baseline mixed-machine timing. Use as reference only; high-before-low 44.7%.</v>
      </c>
    </row>
    <row r="13">
      <c r="A13" s="81"/>
    </row>
    <row r="14">
      <c r="A14" s="81"/>
    </row>
    <row r="15">
      <c r="A15" s="82" t="s">
        <v>941</v>
      </c>
    </row>
    <row r="16">
      <c r="A16" s="83" t="s">
        <v>942</v>
      </c>
      <c r="B16" s="76" t="s">
        <v>943</v>
      </c>
      <c r="C16" s="76" t="s">
        <v>944</v>
      </c>
      <c r="D16" s="76" t="s">
        <v>60</v>
      </c>
      <c r="E16" s="76" t="s">
        <v>945</v>
      </c>
      <c r="G16" s="36" t="str">
        <f>"MARKET MACHINE BRIEFING — "&amp;$B$4&amp;CHAR(10)&amp;"Environment: "&amp;$B$6&amp;" | Conviction: "&amp;$E$6&amp;" | Alignment: "&amp;$H$6&amp;CHAR(10)&amp;"Primary conflict: "&amp;$B$8&amp;CHAR(10)&amp;"Window: "&amp;$B$10&amp;CHAR(10)&amp;"Note: "&amp;$B$12</f>
        <v>MARKET MACHINE BRIEFING — XAGUSD
Environment: Neutral / Mixed | Conviction: 6/100 | Alignment: 49%
Primary conflict: Mixed crosscurrents / no dominant conflict
Window: Weekly High: Friday (35.8%) | Sun–Tue high 35.8% | Weekly Low: Sunday (20.7%) | Sun–Tue low 52.5% | Primary: High 09:00 ET (15.1%) / Low 18:00 ET (18.4%)
Note: Mixed machine; wait for cleaner alignment. Baseline mixed-machine timing. Use as reference only; high-before-low 44.7%.</v>
      </c>
    </row>
    <row r="17">
      <c r="A17" s="84" t="s">
        <v>38</v>
      </c>
      <c r="B17" s="36" t="str">
        <f t="array" ref="B17">IFERROR(INDEX(Signal_Engine!$U:$U,MATCH($B$4,Signal_Engine!$A:$A,0)),"")</f>
        <v>Neutral</v>
      </c>
      <c r="C17" s="36">
        <f t="array" ref="C17">IFERROR(INDEX(Signal_Engine!$AL:$AL,MATCH($B$4,Signal_Engine!$A:$A,0)),"")</f>
        <v>0</v>
      </c>
      <c r="D17" s="36" t="s">
        <v>39</v>
      </c>
      <c r="E17" s="36" t="s">
        <v>946</v>
      </c>
    </row>
    <row r="18">
      <c r="A18" s="84" t="s">
        <v>18</v>
      </c>
      <c r="B18" s="36" t="str">
        <f t="array" ref="B18">IFERROR(INDEX(Signal_Engine!$Q:$Q,MATCH($B$4,Signal_Engine!$A:$A,0)),"")</f>
        <v>Neutral</v>
      </c>
      <c r="C18" s="36">
        <f t="array" ref="C18">IFERROR(INDEX(Signal_Engine!$AM:$AM,MATCH($B$4,Signal_Engine!$A:$A,0)),"")</f>
        <v>0</v>
      </c>
      <c r="D18" s="36" t="s">
        <v>42</v>
      </c>
      <c r="E18" s="36" t="s">
        <v>947</v>
      </c>
    </row>
    <row r="19">
      <c r="A19" s="84" t="s">
        <v>948</v>
      </c>
      <c r="B19" s="36" t="str">
        <f t="array" ref="B19">IFERROR(INDEX(Signal_Engine!$S:$S,MATCH($B$4,Signal_Engine!$A:$A,0)),"")</f>
        <v>Neutral</v>
      </c>
      <c r="C19" s="36">
        <f t="array" ref="C19">IFERROR(INDEX(Signal_Engine!$AI:$AI,MATCH($B$4,Signal_Engine!$A:$A,0)),"")</f>
        <v>-10</v>
      </c>
      <c r="D19" s="36" t="s">
        <v>949</v>
      </c>
      <c r="E19" s="36" t="s">
        <v>950</v>
      </c>
    </row>
    <row r="20">
      <c r="A20" s="84" t="s">
        <v>23</v>
      </c>
      <c r="B20" s="36" t="str">
        <f t="array" ref="B20">IFERROR(INDEX(Signal_Engine!$R:$R,MATCH($B$4,Signal_Engine!$A:$A,0)),"")</f>
        <v>Bullish</v>
      </c>
      <c r="C20" s="36">
        <f t="array" ref="C20">IFERROR(INDEX(Signal_Engine!$AJ:$AJ,MATCH($B$4,Signal_Engine!$A:$A,0)),"")</f>
        <v>10</v>
      </c>
      <c r="D20" s="36" t="s">
        <v>951</v>
      </c>
      <c r="E20" s="36" t="s">
        <v>950</v>
      </c>
    </row>
    <row r="21" ht="15.75" customHeight="1">
      <c r="A21" s="84" t="s">
        <v>29</v>
      </c>
      <c r="B21" s="36" t="str">
        <f t="array" ref="B21">IFERROR(INDEX(Signal_Engine!$T:$T,MATCH($B$4,Signal_Engine!$A:$A,0)),"")</f>
        <v>Neutral</v>
      </c>
      <c r="C21" s="36">
        <f t="array" ref="C21">IFERROR(INDEX(Signal_Engine!$AK:$AK,MATCH($B$4,Signal_Engine!$A:$A,0)),"")</f>
        <v>0</v>
      </c>
      <c r="D21" s="36" t="s">
        <v>46</v>
      </c>
      <c r="E21" s="36" t="s">
        <v>950</v>
      </c>
    </row>
    <row r="22" ht="15.75" customHeight="1">
      <c r="A22" s="84" t="s">
        <v>72</v>
      </c>
      <c r="B22" s="36" t="str">
        <f t="array" ref="B22">IFERROR(INDEX(Seasonality!$D:$D,SUMPRODUCT((Seasonality!$A$2:$A$200=$B$4)*(Seasonality!$B$2:$B$200=TEXT(TODAY(),"mmmm"))*ROW(Seasonality!$D$2:$D$200))),"")</f>
        <v>Bearish</v>
      </c>
      <c r="C22" s="36" t="str">
        <f t="array" ref="C22">IFERROR(INDEX(Seasonality!$E:$E,SUMPRODUCT((Seasonality!$A$2:$A$200=$B$4)*(Seasonality!$B$2:$B$200=TEXT(TODAY(),"mmmm"))*ROW(Seasonality!$E$2:$E$200))),"")</f>
        <v>Strong</v>
      </c>
      <c r="D22" s="36" t="s">
        <v>952</v>
      </c>
      <c r="E22" s="36" t="s">
        <v>72</v>
      </c>
    </row>
    <row r="23" ht="15.75" customHeight="1">
      <c r="A23" s="84" t="s">
        <v>80</v>
      </c>
      <c r="B23" s="36" t="str">
        <f t="array" ref="B23">IFERROR(INDEX(Timing!$H:$H,SUMPRODUCT((Timing!$A$2:$A$17=$B$4)*(Timing!$B$2:$B$17=$E$4)*ROW(Timing!$H$2:$H$17))),"")</f>
        <v>High</v>
      </c>
      <c r="C23" s="36" t="str">
        <f t="array" ref="C23">IFERROR(INDEX(Timing!$E:$E,SUMPRODUCT((Timing!$A$2:$A$17=$B$4)*(Timing!$B$2:$B$17=$E$4)*ROW(Timing!$E$2:$E$17))),"")</f>
        <v>High 09:00 ET (15.1%) / Low 18:00 ET (18.4%)</v>
      </c>
      <c r="D23" s="36" t="s">
        <v>953</v>
      </c>
      <c r="E23" s="36" t="s">
        <v>80</v>
      </c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B8:H8"/>
    <mergeCell ref="B10:H10"/>
    <mergeCell ref="B12:H12"/>
    <mergeCell ref="G15:K15"/>
    <mergeCell ref="G16:K23"/>
  </mergeCells>
  <conditionalFormatting sqref="B6">
    <cfRule type="expression" dxfId="6" priority="1">
      <formula>ISNUMBER(SEARCH("Bearish",$B$6))</formula>
    </cfRule>
  </conditionalFormatting>
  <conditionalFormatting sqref="B6">
    <cfRule type="expression" dxfId="1" priority="2">
      <formula>ISNUMBER(SEARCH("Bullish",$B$6))</formula>
    </cfRule>
  </conditionalFormatting>
  <conditionalFormatting sqref="B6">
    <cfRule type="expression" dxfId="7" priority="3">
      <formula>ISNUMBER(SEARCH("Neutral",$B$6))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0.0"/>
    <col customWidth="1" min="9" max="26" width="8.63"/>
  </cols>
  <sheetData>
    <row r="1">
      <c r="A1" s="76" t="s">
        <v>954</v>
      </c>
    </row>
    <row r="3" ht="31.5" customHeight="1">
      <c r="A3" s="76" t="s">
        <v>955</v>
      </c>
      <c r="B3" s="76" t="s">
        <v>956</v>
      </c>
      <c r="C3" s="76" t="s">
        <v>5</v>
      </c>
      <c r="D3" s="76" t="s">
        <v>957</v>
      </c>
      <c r="E3" s="76" t="s">
        <v>958</v>
      </c>
      <c r="F3" s="76" t="s">
        <v>959</v>
      </c>
      <c r="G3" s="76" t="s">
        <v>960</v>
      </c>
      <c r="H3" s="76" t="s">
        <v>961</v>
      </c>
    </row>
    <row r="4">
      <c r="A4" s="84" t="s">
        <v>962</v>
      </c>
      <c r="B4" s="36">
        <f>IFERROR(MAX(FRED_Raw!$E:$E),"")</f>
        <v>0</v>
      </c>
      <c r="C4" s="36" t="str">
        <f t="shared" ref="C4:C5" si="1">IF(B4&lt;&gt;"","PASS","REVIEW")</f>
        <v>PASS</v>
      </c>
      <c r="D4" s="36" t="s">
        <v>963</v>
      </c>
      <c r="E4" s="36" t="s">
        <v>419</v>
      </c>
      <c r="F4" s="36" t="s">
        <v>964</v>
      </c>
      <c r="G4" s="36" t="s">
        <v>22</v>
      </c>
      <c r="H4" s="36" t="s">
        <v>965</v>
      </c>
    </row>
    <row r="5">
      <c r="A5" s="84" t="s">
        <v>966</v>
      </c>
      <c r="B5" s="36">
        <f>IFERROR(MAX(CFTC_Raw!$A:$A),"")</f>
        <v>46175</v>
      </c>
      <c r="C5" s="36" t="str">
        <f t="shared" si="1"/>
        <v>PASS</v>
      </c>
      <c r="D5" s="36" t="s">
        <v>967</v>
      </c>
      <c r="E5" s="36" t="s">
        <v>422</v>
      </c>
      <c r="F5" s="36" t="s">
        <v>968</v>
      </c>
      <c r="G5" s="36" t="s">
        <v>27</v>
      </c>
      <c r="H5" s="36" t="s">
        <v>965</v>
      </c>
    </row>
    <row r="6">
      <c r="A6" s="84" t="s">
        <v>969</v>
      </c>
      <c r="B6" s="36">
        <f>IFERROR(MAX(Signal_Engine!$AE:$AE),"")</f>
        <v>46182.82906</v>
      </c>
      <c r="C6" s="36" t="str">
        <f>IF(COUNTA(Signal_Engine!$A$2:$A$6)&gt;0,"PASS","REVIEW")</f>
        <v>PASS</v>
      </c>
      <c r="D6" s="36" t="s">
        <v>970</v>
      </c>
      <c r="E6" s="36" t="s">
        <v>946</v>
      </c>
      <c r="F6" s="36" t="s">
        <v>971</v>
      </c>
      <c r="G6" s="36" t="s">
        <v>972</v>
      </c>
      <c r="H6" s="36" t="s">
        <v>965</v>
      </c>
    </row>
    <row r="7">
      <c r="A7" s="84" t="s">
        <v>756</v>
      </c>
      <c r="B7" s="36" t="str">
        <f>IFERROR(Dashboard!B15,"")</f>
        <v>Neutral / Mixed</v>
      </c>
      <c r="C7" s="36" t="str">
        <f t="shared" ref="C7:C9" si="2">IF(B7&lt;&gt;"","PASS","REVIEW")</f>
        <v>PASS</v>
      </c>
      <c r="D7" s="36" t="s">
        <v>973</v>
      </c>
      <c r="E7" s="36" t="s">
        <v>756</v>
      </c>
      <c r="F7" s="36" t="s">
        <v>974</v>
      </c>
      <c r="G7" s="36" t="s">
        <v>975</v>
      </c>
      <c r="H7" s="36" t="s">
        <v>965</v>
      </c>
    </row>
    <row r="8">
      <c r="A8" s="84" t="s">
        <v>976</v>
      </c>
      <c r="B8" s="36">
        <f>IFERROR(MAX(Timing!$K:$K),"")</f>
        <v>0</v>
      </c>
      <c r="C8" s="36" t="str">
        <f t="shared" si="2"/>
        <v>PASS</v>
      </c>
      <c r="D8" s="36" t="s">
        <v>977</v>
      </c>
      <c r="E8" s="36" t="s">
        <v>80</v>
      </c>
      <c r="F8" s="36" t="s">
        <v>978</v>
      </c>
      <c r="G8" s="36" t="s">
        <v>979</v>
      </c>
      <c r="H8" s="36" t="s">
        <v>980</v>
      </c>
    </row>
    <row r="9">
      <c r="A9" s="84" t="s">
        <v>981</v>
      </c>
      <c r="B9" s="36">
        <f>IFERROR(MAX(Seasonality!$J:$J),"")</f>
        <v>0</v>
      </c>
      <c r="C9" s="36" t="str">
        <f t="shared" si="2"/>
        <v>PASS</v>
      </c>
      <c r="D9" s="36" t="s">
        <v>977</v>
      </c>
      <c r="E9" s="36" t="s">
        <v>72</v>
      </c>
      <c r="F9" s="36" t="s">
        <v>982</v>
      </c>
      <c r="G9" s="36" t="s">
        <v>983</v>
      </c>
      <c r="H9" s="36" t="s">
        <v>980</v>
      </c>
    </row>
    <row r="10">
      <c r="A10" s="84" t="s">
        <v>474</v>
      </c>
      <c r="B10" s="85">
        <f t="shared" ref="B10:B11" si="3">NOW()</f>
        <v>46182.82906</v>
      </c>
      <c r="C10" s="36" t="str">
        <f>IF(Briefing!B6&lt;&gt;"","PASS","REVIEW")</f>
        <v>PASS</v>
      </c>
      <c r="D10" s="36" t="s">
        <v>984</v>
      </c>
      <c r="E10" s="36" t="s">
        <v>476</v>
      </c>
      <c r="F10" s="36" t="s">
        <v>985</v>
      </c>
      <c r="G10" s="36" t="s">
        <v>986</v>
      </c>
      <c r="H10" s="36" t="s">
        <v>965</v>
      </c>
    </row>
    <row r="11">
      <c r="A11" s="84" t="s">
        <v>483</v>
      </c>
      <c r="B11" s="85">
        <f t="shared" si="3"/>
        <v>46182.82906</v>
      </c>
      <c r="C11" s="36" t="str">
        <f>IF(AI_Prompt_Builder!A1&lt;&gt;"","READY","REVIEW")</f>
        <v>READY</v>
      </c>
      <c r="D11" s="36" t="s">
        <v>485</v>
      </c>
      <c r="E11" s="36" t="s">
        <v>484</v>
      </c>
      <c r="F11" s="36" t="s">
        <v>987</v>
      </c>
      <c r="G11" s="36" t="s">
        <v>988</v>
      </c>
      <c r="H11" s="36" t="s">
        <v>147</v>
      </c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C4:C11">
    <cfRule type="expression" dxfId="1" priority="1">
      <formula>$C4="PASS"</formula>
    </cfRule>
  </conditionalFormatting>
  <conditionalFormatting sqref="C4:C11">
    <cfRule type="expression" dxfId="6" priority="2">
      <formula>$C4&lt;&gt;"PASS"</formula>
    </cfRule>
  </conditionalFormatting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16.0"/>
    <col customWidth="1" min="4" max="5" width="28.0"/>
    <col customWidth="1" min="6" max="6" width="16.0"/>
    <col customWidth="1" min="7" max="7" width="28.0"/>
    <col customWidth="1" min="8" max="9" width="16.0"/>
    <col customWidth="1" min="10" max="10" width="28.0"/>
    <col customWidth="1" min="11" max="26" width="8.63"/>
  </cols>
  <sheetData>
    <row r="1">
      <c r="A1" s="76" t="s">
        <v>989</v>
      </c>
    </row>
    <row r="3">
      <c r="A3" s="76" t="s">
        <v>842</v>
      </c>
      <c r="B3" s="76" t="s">
        <v>91</v>
      </c>
      <c r="C3" s="76" t="s">
        <v>227</v>
      </c>
      <c r="D3" s="76" t="s">
        <v>990</v>
      </c>
      <c r="E3" s="76" t="s">
        <v>991</v>
      </c>
      <c r="F3" s="76" t="s">
        <v>127</v>
      </c>
      <c r="G3" s="76" t="s">
        <v>992</v>
      </c>
      <c r="H3" s="76" t="s">
        <v>993</v>
      </c>
      <c r="I3" s="76" t="s">
        <v>994</v>
      </c>
      <c r="J3" s="76" t="s">
        <v>9</v>
      </c>
    </row>
    <row r="4">
      <c r="A4" s="36" t="s">
        <v>995</v>
      </c>
      <c r="B4" s="36" t="s">
        <v>996</v>
      </c>
      <c r="C4" s="36" t="s">
        <v>997</v>
      </c>
      <c r="D4" s="36" t="s">
        <v>998</v>
      </c>
      <c r="E4" s="36" t="s">
        <v>999</v>
      </c>
      <c r="F4" s="36" t="s">
        <v>1000</v>
      </c>
      <c r="G4" s="36" t="s">
        <v>1001</v>
      </c>
      <c r="H4" s="36" t="s">
        <v>1002</v>
      </c>
      <c r="I4" s="36" t="s">
        <v>116</v>
      </c>
      <c r="J4" s="36" t="s">
        <v>1003</v>
      </c>
    </row>
    <row r="5">
      <c r="A5" s="36" t="s">
        <v>1004</v>
      </c>
      <c r="B5" s="36" t="s">
        <v>17</v>
      </c>
      <c r="C5" s="36" t="s">
        <v>35</v>
      </c>
      <c r="D5" s="36" t="s">
        <v>1005</v>
      </c>
      <c r="E5" s="36" t="s">
        <v>1006</v>
      </c>
      <c r="F5" s="36" t="s">
        <v>236</v>
      </c>
      <c r="G5" s="36" t="s">
        <v>1007</v>
      </c>
      <c r="H5" s="36" t="s">
        <v>1008</v>
      </c>
      <c r="I5" s="36" t="s">
        <v>116</v>
      </c>
      <c r="J5" s="36" t="s">
        <v>1009</v>
      </c>
    </row>
    <row r="6">
      <c r="A6" s="36" t="s">
        <v>1004</v>
      </c>
      <c r="B6" s="36" t="s">
        <v>117</v>
      </c>
      <c r="C6" s="36" t="s">
        <v>35</v>
      </c>
      <c r="D6" s="36" t="s">
        <v>1005</v>
      </c>
      <c r="E6" s="36" t="s">
        <v>1006</v>
      </c>
      <c r="F6" s="36" t="s">
        <v>236</v>
      </c>
      <c r="G6" s="36" t="s">
        <v>1010</v>
      </c>
      <c r="H6" s="36" t="s">
        <v>1008</v>
      </c>
      <c r="I6" s="36" t="s">
        <v>116</v>
      </c>
      <c r="J6" s="36" t="s">
        <v>1009</v>
      </c>
    </row>
    <row r="7">
      <c r="A7" s="36" t="s">
        <v>1011</v>
      </c>
      <c r="B7" s="36" t="s">
        <v>17</v>
      </c>
      <c r="C7" s="36" t="s">
        <v>34</v>
      </c>
      <c r="D7" s="36" t="s">
        <v>1012</v>
      </c>
      <c r="E7" s="36" t="s">
        <v>1013</v>
      </c>
      <c r="F7" s="36" t="s">
        <v>236</v>
      </c>
      <c r="G7" s="36" t="s">
        <v>1014</v>
      </c>
      <c r="H7" s="36" t="s">
        <v>1008</v>
      </c>
      <c r="I7" s="36" t="s">
        <v>116</v>
      </c>
      <c r="J7" s="36" t="s">
        <v>1015</v>
      </c>
    </row>
    <row r="8">
      <c r="A8" s="36" t="s">
        <v>866</v>
      </c>
      <c r="B8" s="36" t="s">
        <v>996</v>
      </c>
      <c r="C8" s="36" t="s">
        <v>1016</v>
      </c>
      <c r="D8" s="36" t="s">
        <v>867</v>
      </c>
      <c r="E8" s="36" t="s">
        <v>1017</v>
      </c>
      <c r="F8" s="36" t="s">
        <v>1018</v>
      </c>
      <c r="G8" s="36" t="s">
        <v>1019</v>
      </c>
      <c r="H8" s="36" t="s">
        <v>1008</v>
      </c>
      <c r="I8" s="36" t="s">
        <v>116</v>
      </c>
      <c r="J8" s="36" t="s">
        <v>1020</v>
      </c>
    </row>
    <row r="9">
      <c r="A9" s="36" t="s">
        <v>1021</v>
      </c>
      <c r="B9" s="36" t="s">
        <v>996</v>
      </c>
      <c r="C9" s="36" t="s">
        <v>1022</v>
      </c>
      <c r="D9" s="36" t="s">
        <v>997</v>
      </c>
      <c r="E9" s="36" t="s">
        <v>1023</v>
      </c>
      <c r="F9" s="36" t="s">
        <v>1024</v>
      </c>
      <c r="G9" s="36" t="s">
        <v>1025</v>
      </c>
      <c r="H9" s="36" t="s">
        <v>1026</v>
      </c>
      <c r="I9" s="36" t="s">
        <v>116</v>
      </c>
      <c r="J9" s="36" t="s">
        <v>1027</v>
      </c>
    </row>
    <row r="10">
      <c r="A10" s="36" t="s">
        <v>1028</v>
      </c>
      <c r="B10" s="36" t="s">
        <v>996</v>
      </c>
      <c r="C10" s="36" t="s">
        <v>997</v>
      </c>
      <c r="D10" s="36" t="s">
        <v>997</v>
      </c>
      <c r="E10" s="36" t="s">
        <v>1029</v>
      </c>
      <c r="F10" s="36" t="s">
        <v>1030</v>
      </c>
      <c r="G10" s="36" t="s">
        <v>1031</v>
      </c>
      <c r="H10" s="36" t="s">
        <v>1032</v>
      </c>
      <c r="I10" s="36" t="s">
        <v>1033</v>
      </c>
      <c r="J10" s="36" t="s">
        <v>1034</v>
      </c>
    </row>
    <row r="11">
      <c r="A11" s="36" t="s">
        <v>1035</v>
      </c>
      <c r="B11" s="36" t="s">
        <v>996</v>
      </c>
      <c r="C11" s="36" t="s">
        <v>997</v>
      </c>
      <c r="D11" s="36" t="s">
        <v>1036</v>
      </c>
      <c r="E11" s="36" t="s">
        <v>1037</v>
      </c>
      <c r="F11" s="36" t="s">
        <v>1000</v>
      </c>
      <c r="G11" s="36" t="s">
        <v>1038</v>
      </c>
      <c r="H11" s="36" t="s">
        <v>1039</v>
      </c>
      <c r="I11" s="36" t="s">
        <v>116</v>
      </c>
      <c r="J11" s="36" t="s">
        <v>1040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conditionalFormatting sqref="F4:F11">
    <cfRule type="expression" dxfId="8" priority="1">
      <formula>$F4="Urgent"</formula>
    </cfRule>
  </conditionalFormatting>
  <conditionalFormatting sqref="F4:F11">
    <cfRule type="expression" dxfId="6" priority="2">
      <formula>$F4="High"</formula>
    </cfRule>
  </conditionalFormatting>
  <conditionalFormatting sqref="F4:F11">
    <cfRule type="expression" dxfId="9" priority="3">
      <formula>$F4="Normal"</formula>
    </cfRule>
  </conditionalFormatting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6.75"/>
    <col customWidth="1" min="3" max="3" width="14.13"/>
    <col customWidth="1" min="4" max="4" width="8.63"/>
    <col customWidth="1" min="5" max="5" width="8.38"/>
    <col customWidth="1" min="6" max="6" width="43.63"/>
    <col customWidth="1" min="7" max="7" width="12.25"/>
    <col customWidth="1" min="8" max="8" width="18.13"/>
    <col customWidth="1" min="9" max="26" width="8.63"/>
  </cols>
  <sheetData>
    <row r="1">
      <c r="A1" s="76" t="s">
        <v>1041</v>
      </c>
    </row>
    <row r="3">
      <c r="A3" s="76" t="s">
        <v>1042</v>
      </c>
      <c r="B3" s="76" t="s">
        <v>91</v>
      </c>
      <c r="C3" s="76" t="s">
        <v>63</v>
      </c>
      <c r="D3" s="76" t="s">
        <v>62</v>
      </c>
      <c r="E3" s="76" t="s">
        <v>1043</v>
      </c>
      <c r="F3" s="76" t="s">
        <v>1044</v>
      </c>
      <c r="G3" s="76" t="s">
        <v>1045</v>
      </c>
      <c r="H3" s="76" t="s">
        <v>9</v>
      </c>
    </row>
    <row r="4">
      <c r="A4" s="84">
        <v>46182.806795439814</v>
      </c>
      <c r="B4" s="36" t="s">
        <v>17</v>
      </c>
      <c r="C4" s="36" t="s">
        <v>1046</v>
      </c>
      <c r="D4" s="36" t="s">
        <v>1047</v>
      </c>
      <c r="E4" s="36" t="s">
        <v>965</v>
      </c>
      <c r="F4" s="36" t="s">
        <v>1048</v>
      </c>
      <c r="G4" s="36" t="s">
        <v>1049</v>
      </c>
      <c r="H4" s="36" t="s">
        <v>1050</v>
      </c>
    </row>
    <row r="5">
      <c r="A5" s="84"/>
      <c r="B5" s="36"/>
      <c r="C5" s="36"/>
      <c r="D5" s="36"/>
      <c r="E5" s="36"/>
      <c r="F5" s="36"/>
      <c r="G5" s="36"/>
      <c r="H5" s="36"/>
    </row>
    <row r="6">
      <c r="A6" s="84"/>
      <c r="B6" s="36"/>
      <c r="C6" s="36"/>
      <c r="D6" s="36"/>
      <c r="E6" s="36"/>
      <c r="F6" s="36"/>
      <c r="G6" s="36"/>
      <c r="H6" s="36"/>
    </row>
    <row r="7">
      <c r="A7" s="84"/>
      <c r="B7" s="36"/>
      <c r="C7" s="36"/>
      <c r="D7" s="36"/>
      <c r="E7" s="36"/>
      <c r="F7" s="36"/>
      <c r="G7" s="36"/>
      <c r="H7" s="36"/>
    </row>
    <row r="8">
      <c r="A8" s="84"/>
      <c r="B8" s="36"/>
      <c r="C8" s="36"/>
      <c r="D8" s="36"/>
      <c r="E8" s="36"/>
      <c r="F8" s="36"/>
      <c r="G8" s="36"/>
      <c r="H8" s="36"/>
    </row>
    <row r="9">
      <c r="A9" s="84"/>
      <c r="B9" s="36"/>
      <c r="C9" s="36"/>
      <c r="D9" s="36"/>
      <c r="E9" s="36"/>
      <c r="F9" s="36"/>
      <c r="G9" s="36"/>
      <c r="H9" s="36"/>
    </row>
    <row r="10">
      <c r="A10" s="84"/>
      <c r="B10" s="36"/>
      <c r="C10" s="36"/>
      <c r="D10" s="36"/>
      <c r="E10" s="36"/>
      <c r="F10" s="36"/>
      <c r="G10" s="36"/>
      <c r="H10" s="36"/>
    </row>
    <row r="11">
      <c r="A11" s="84"/>
      <c r="B11" s="36"/>
      <c r="C11" s="36"/>
      <c r="D11" s="36"/>
      <c r="E11" s="36"/>
      <c r="F11" s="36"/>
      <c r="G11" s="36"/>
      <c r="H11" s="36"/>
    </row>
    <row r="12">
      <c r="A12" s="84"/>
      <c r="B12" s="36"/>
      <c r="C12" s="36"/>
      <c r="D12" s="36"/>
      <c r="E12" s="36"/>
      <c r="F12" s="36"/>
      <c r="G12" s="36"/>
      <c r="H12" s="36"/>
    </row>
    <row r="13">
      <c r="A13" s="84"/>
      <c r="B13" s="36"/>
      <c r="C13" s="36"/>
      <c r="D13" s="36"/>
      <c r="E13" s="36"/>
      <c r="F13" s="36"/>
      <c r="G13" s="36"/>
      <c r="H13" s="36"/>
    </row>
    <row r="14">
      <c r="A14" s="84"/>
      <c r="B14" s="36"/>
      <c r="C14" s="36"/>
      <c r="D14" s="36"/>
      <c r="E14" s="36"/>
      <c r="F14" s="36"/>
      <c r="G14" s="36"/>
      <c r="H14" s="36"/>
    </row>
    <row r="15">
      <c r="A15" s="84"/>
      <c r="B15" s="36"/>
      <c r="C15" s="36"/>
      <c r="D15" s="36"/>
      <c r="E15" s="36"/>
      <c r="F15" s="36"/>
      <c r="G15" s="36"/>
      <c r="H15" s="36"/>
    </row>
    <row r="16">
      <c r="A16" s="84"/>
      <c r="B16" s="36"/>
      <c r="C16" s="36"/>
      <c r="D16" s="36"/>
      <c r="E16" s="36"/>
      <c r="F16" s="36"/>
      <c r="G16" s="36"/>
      <c r="H16" s="36"/>
    </row>
    <row r="17">
      <c r="A17" s="84"/>
      <c r="B17" s="36"/>
      <c r="C17" s="36"/>
      <c r="D17" s="36"/>
      <c r="E17" s="36"/>
      <c r="F17" s="36"/>
      <c r="G17" s="36"/>
      <c r="H17" s="36"/>
    </row>
    <row r="18">
      <c r="A18" s="84"/>
      <c r="B18" s="36"/>
      <c r="C18" s="36"/>
      <c r="D18" s="36"/>
      <c r="E18" s="36"/>
      <c r="F18" s="36"/>
      <c r="G18" s="36"/>
      <c r="H18" s="36"/>
    </row>
    <row r="19">
      <c r="A19" s="84"/>
      <c r="B19" s="36"/>
      <c r="C19" s="36"/>
      <c r="D19" s="36"/>
      <c r="E19" s="36"/>
      <c r="F19" s="36"/>
      <c r="G19" s="36"/>
      <c r="H19" s="36"/>
    </row>
    <row r="20">
      <c r="A20" s="84"/>
      <c r="B20" s="36"/>
      <c r="C20" s="36"/>
      <c r="D20" s="36"/>
      <c r="E20" s="36"/>
      <c r="F20" s="36"/>
      <c r="G20" s="36"/>
      <c r="H20" s="36"/>
    </row>
    <row r="21" ht="15.75" customHeight="1">
      <c r="A21" s="84"/>
      <c r="B21" s="36"/>
      <c r="C21" s="36"/>
      <c r="D21" s="36"/>
      <c r="E21" s="36"/>
      <c r="F21" s="36"/>
      <c r="G21" s="36"/>
      <c r="H21" s="36"/>
    </row>
    <row r="22" ht="15.75" customHeight="1">
      <c r="A22" s="84"/>
      <c r="B22" s="36"/>
      <c r="C22" s="36"/>
      <c r="D22" s="36"/>
      <c r="E22" s="36"/>
      <c r="F22" s="36"/>
      <c r="G22" s="36"/>
      <c r="H22" s="36"/>
    </row>
    <row r="23" ht="15.75" customHeight="1">
      <c r="A23" s="84"/>
      <c r="B23" s="36"/>
      <c r="C23" s="36"/>
      <c r="D23" s="36"/>
      <c r="E23" s="36"/>
      <c r="F23" s="36"/>
      <c r="G23" s="36"/>
      <c r="H23" s="36"/>
    </row>
    <row r="24" ht="15.75" customHeight="1">
      <c r="A24" s="84"/>
      <c r="B24" s="36"/>
      <c r="C24" s="36"/>
      <c r="D24" s="36"/>
      <c r="E24" s="36"/>
      <c r="F24" s="36"/>
      <c r="G24" s="36"/>
      <c r="H24" s="36"/>
    </row>
    <row r="25" ht="15.75" customHeight="1">
      <c r="A25" s="84"/>
      <c r="B25" s="36"/>
      <c r="C25" s="36"/>
      <c r="D25" s="36"/>
      <c r="E25" s="36"/>
      <c r="F25" s="36"/>
      <c r="G25" s="36"/>
      <c r="H25" s="36"/>
    </row>
    <row r="26" ht="15.75" customHeight="1">
      <c r="A26" s="84"/>
      <c r="B26" s="36"/>
      <c r="C26" s="36"/>
      <c r="D26" s="36"/>
      <c r="E26" s="36"/>
      <c r="F26" s="36"/>
      <c r="G26" s="36"/>
      <c r="H26" s="36"/>
    </row>
    <row r="27" ht="15.75" customHeight="1">
      <c r="A27" s="84"/>
      <c r="B27" s="36"/>
      <c r="C27" s="36"/>
      <c r="D27" s="36"/>
      <c r="E27" s="36"/>
      <c r="F27" s="36"/>
      <c r="G27" s="36"/>
      <c r="H27" s="36"/>
    </row>
    <row r="28" ht="15.75" customHeight="1">
      <c r="A28" s="84"/>
      <c r="B28" s="36"/>
      <c r="C28" s="36"/>
      <c r="D28" s="36"/>
      <c r="E28" s="36"/>
      <c r="F28" s="36"/>
      <c r="G28" s="36"/>
      <c r="H28" s="36"/>
    </row>
    <row r="29" ht="15.75" customHeight="1">
      <c r="A29" s="84"/>
      <c r="B29" s="36"/>
      <c r="C29" s="36"/>
      <c r="D29" s="36"/>
      <c r="E29" s="36"/>
      <c r="F29" s="36"/>
      <c r="G29" s="36"/>
      <c r="H29" s="36"/>
    </row>
    <row r="30" ht="15.75" customHeight="1">
      <c r="A30" s="84"/>
      <c r="B30" s="36"/>
      <c r="C30" s="36"/>
      <c r="D30" s="36"/>
      <c r="E30" s="36"/>
      <c r="F30" s="36"/>
      <c r="G30" s="36"/>
      <c r="H30" s="36"/>
    </row>
    <row r="31" ht="15.75" customHeight="1">
      <c r="A31" s="84"/>
      <c r="B31" s="36"/>
      <c r="C31" s="36"/>
      <c r="D31" s="36"/>
      <c r="E31" s="36"/>
      <c r="F31" s="36"/>
      <c r="G31" s="36"/>
      <c r="H31" s="36"/>
    </row>
    <row r="32" ht="15.75" customHeight="1">
      <c r="A32" s="84"/>
      <c r="B32" s="36"/>
      <c r="C32" s="36"/>
      <c r="D32" s="36"/>
      <c r="E32" s="36"/>
      <c r="F32" s="36"/>
      <c r="G32" s="36"/>
      <c r="H32" s="36"/>
    </row>
    <row r="33" ht="15.75" customHeight="1">
      <c r="A33" s="84"/>
      <c r="B33" s="36"/>
      <c r="C33" s="36"/>
      <c r="D33" s="36"/>
      <c r="E33" s="36"/>
      <c r="F33" s="36"/>
      <c r="G33" s="36"/>
      <c r="H33" s="36"/>
    </row>
    <row r="34" ht="15.75" customHeight="1">
      <c r="A34" s="84"/>
      <c r="B34" s="36"/>
      <c r="C34" s="36"/>
      <c r="D34" s="36"/>
      <c r="E34" s="36"/>
      <c r="F34" s="36"/>
      <c r="G34" s="36"/>
      <c r="H34" s="36"/>
    </row>
    <row r="35" ht="15.75" customHeight="1">
      <c r="A35" s="84"/>
      <c r="B35" s="36"/>
      <c r="C35" s="36"/>
      <c r="D35" s="36"/>
      <c r="E35" s="36"/>
      <c r="F35" s="36"/>
      <c r="G35" s="36"/>
      <c r="H35" s="36"/>
    </row>
    <row r="36" ht="15.75" customHeight="1">
      <c r="A36" s="84"/>
      <c r="B36" s="36"/>
      <c r="C36" s="36"/>
      <c r="D36" s="36"/>
      <c r="E36" s="36"/>
      <c r="F36" s="36"/>
      <c r="G36" s="36"/>
      <c r="H36" s="36"/>
    </row>
    <row r="37" ht="15.75" customHeight="1">
      <c r="A37" s="84"/>
      <c r="B37" s="36"/>
      <c r="C37" s="36"/>
      <c r="D37" s="36"/>
      <c r="E37" s="36"/>
      <c r="F37" s="36"/>
      <c r="G37" s="36"/>
      <c r="H37" s="36"/>
    </row>
    <row r="38" ht="15.75" customHeight="1">
      <c r="A38" s="84"/>
      <c r="B38" s="36"/>
      <c r="C38" s="36"/>
      <c r="D38" s="36"/>
      <c r="E38" s="36"/>
      <c r="F38" s="36"/>
      <c r="G38" s="36"/>
      <c r="H38" s="36"/>
    </row>
    <row r="39" ht="15.75" customHeight="1">
      <c r="A39" s="84"/>
      <c r="B39" s="36"/>
      <c r="C39" s="36"/>
      <c r="D39" s="36"/>
      <c r="E39" s="36"/>
      <c r="F39" s="36"/>
      <c r="G39" s="36"/>
      <c r="H39" s="36"/>
    </row>
    <row r="40" ht="15.75" customHeight="1">
      <c r="A40" s="84"/>
      <c r="B40" s="36"/>
      <c r="C40" s="36"/>
      <c r="D40" s="36"/>
      <c r="E40" s="36"/>
      <c r="F40" s="36"/>
      <c r="G40" s="36"/>
      <c r="H40" s="36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0"/>
    <col customWidth="1" min="7" max="26" width="8.63"/>
  </cols>
  <sheetData>
    <row r="1">
      <c r="A1" s="76" t="s">
        <v>1051</v>
      </c>
    </row>
    <row r="3">
      <c r="A3" s="76" t="s">
        <v>1052</v>
      </c>
      <c r="B3" s="76" t="s">
        <v>1053</v>
      </c>
      <c r="C3" s="76" t="s">
        <v>5</v>
      </c>
      <c r="D3" s="76" t="s">
        <v>9</v>
      </c>
      <c r="E3" s="76" t="s">
        <v>1054</v>
      </c>
      <c r="F3" s="76" t="s">
        <v>1055</v>
      </c>
    </row>
    <row r="4">
      <c r="A4" s="36" t="s">
        <v>1056</v>
      </c>
      <c r="B4" s="36" t="s">
        <v>1057</v>
      </c>
      <c r="C4" s="36" t="s">
        <v>1058</v>
      </c>
      <c r="D4" s="36" t="s">
        <v>1059</v>
      </c>
      <c r="E4" s="36" t="s">
        <v>1060</v>
      </c>
      <c r="F4" s="36" t="s">
        <v>1061</v>
      </c>
    </row>
    <row r="5">
      <c r="A5" s="36" t="s">
        <v>1062</v>
      </c>
      <c r="B5" s="36"/>
      <c r="C5" s="36" t="s">
        <v>1063</v>
      </c>
      <c r="D5" s="36" t="s">
        <v>1064</v>
      </c>
      <c r="E5" s="36" t="s">
        <v>1065</v>
      </c>
      <c r="F5" s="36" t="s">
        <v>1066</v>
      </c>
    </row>
    <row r="6">
      <c r="A6" s="36" t="s">
        <v>1067</v>
      </c>
      <c r="B6" s="36" t="s">
        <v>1068</v>
      </c>
      <c r="C6" s="36" t="s">
        <v>1069</v>
      </c>
      <c r="D6" s="36" t="s">
        <v>1070</v>
      </c>
      <c r="E6" s="36" t="s">
        <v>1071</v>
      </c>
      <c r="F6" s="36" t="s">
        <v>1033</v>
      </c>
    </row>
    <row r="7">
      <c r="A7" s="36" t="s">
        <v>1072</v>
      </c>
      <c r="B7" s="36" t="s">
        <v>1073</v>
      </c>
      <c r="C7" s="36" t="s">
        <v>1069</v>
      </c>
      <c r="D7" s="36" t="s">
        <v>1074</v>
      </c>
      <c r="E7" s="36" t="s">
        <v>1071</v>
      </c>
      <c r="F7" s="36" t="s">
        <v>1075</v>
      </c>
    </row>
    <row r="8">
      <c r="A8" s="36" t="s">
        <v>1076</v>
      </c>
      <c r="B8" s="36" t="s">
        <v>1077</v>
      </c>
      <c r="C8" s="36" t="s">
        <v>1069</v>
      </c>
      <c r="D8" s="36" t="s">
        <v>1078</v>
      </c>
      <c r="E8" s="36" t="s">
        <v>1071</v>
      </c>
      <c r="F8" s="36" t="s">
        <v>1079</v>
      </c>
    </row>
    <row r="9">
      <c r="A9" s="36" t="s">
        <v>1080</v>
      </c>
      <c r="B9" s="36" t="s">
        <v>1081</v>
      </c>
      <c r="C9" s="36" t="s">
        <v>1058</v>
      </c>
      <c r="D9" s="36" t="s">
        <v>1082</v>
      </c>
      <c r="E9" s="36" t="s">
        <v>1071</v>
      </c>
      <c r="F9" s="36" t="s">
        <v>1033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2.0"/>
    <col customWidth="1" min="9" max="26" width="8.63"/>
  </cols>
  <sheetData>
    <row r="1">
      <c r="A1" s="76" t="s">
        <v>1083</v>
      </c>
    </row>
    <row r="3">
      <c r="A3" s="41" t="s">
        <v>16</v>
      </c>
      <c r="B3" s="41" t="str">
        <f>Briefing!B4</f>
        <v>XAGUSD</v>
      </c>
    </row>
    <row r="5">
      <c r="A5" s="86" t="s">
        <v>1084</v>
      </c>
    </row>
    <row r="6">
      <c r="A6" s="36" t="str">
        <f>"Act as my Market Machine briefing editor. Use only the machine evidence below. Do not invent a trade signal. Give me a concise market-weather briefing with: current environment, primary conflict, timing window, seasonality, risk notes, and what to watch n"&amp;"ext."&amp;CHAR(10)&amp;CHAR(10)&amp;Briefing!G16</f>
        <v>Act as my Market Machine briefing editor. Use only the machine evidence below. Do not invent a trade signal. Give me a concise market-weather briefing with: current environment, primary conflict, timing window, seasonality, risk notes, and what to watch next.
MARKET MACHINE BRIEFING — XAGUSD
Environment: Neutral / Mixed | Conviction: 6/100 | Alignment: 49%
Primary conflict: Mixed crosscurrents / no dominant conflict
Window: Weekly High: Friday (35.8%) | Sun–Tue high 35.8% | Weekly Low: Sunday (20.7%) | Sun–Tue low 52.5% | Primary: High 09:00 ET (15.1%) / Low 18:00 ET (18.4%)
Note: Mixed machine; wait for cleaner alignment. Baseline mixed-machine timing. Use as reference only; high-before-low 44.7%.</v>
      </c>
    </row>
    <row r="21" ht="15.75" customHeight="1"/>
    <row r="22" ht="15.75" customHeight="1">
      <c r="A22" s="87" t="s">
        <v>1085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5:H5"/>
    <mergeCell ref="A6:H20"/>
    <mergeCell ref="A22:H2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6.38"/>
    <col customWidth="1" min="3" max="3" width="25.13"/>
    <col customWidth="1" min="4" max="4" width="17.63"/>
    <col customWidth="1" min="5" max="5" width="13.5"/>
    <col customWidth="1" min="6" max="6" width="5.13"/>
    <col customWidth="1" min="7" max="7" width="45.88"/>
    <col customWidth="1" min="8" max="8" width="29.88"/>
    <col customWidth="1" min="9" max="26" width="8.63"/>
  </cols>
  <sheetData>
    <row r="1">
      <c r="A1" s="76" t="s">
        <v>1086</v>
      </c>
    </row>
    <row r="3">
      <c r="A3" s="76" t="s">
        <v>98</v>
      </c>
      <c r="B3" s="76" t="s">
        <v>1087</v>
      </c>
      <c r="C3" s="76" t="s">
        <v>1088</v>
      </c>
      <c r="D3" s="76" t="s">
        <v>1089</v>
      </c>
      <c r="E3" s="76" t="s">
        <v>1090</v>
      </c>
      <c r="F3" s="76" t="s">
        <v>1091</v>
      </c>
      <c r="G3" s="76" t="s">
        <v>1092</v>
      </c>
      <c r="H3" s="76" t="s">
        <v>9</v>
      </c>
    </row>
    <row r="4">
      <c r="A4" s="36"/>
      <c r="B4" s="36"/>
      <c r="C4" s="36" t="s">
        <v>1093</v>
      </c>
      <c r="D4" s="36" t="s">
        <v>1094</v>
      </c>
      <c r="E4" s="36" t="s">
        <v>236</v>
      </c>
      <c r="F4" s="36"/>
      <c r="G4" s="36" t="s">
        <v>1095</v>
      </c>
      <c r="H4" s="36" t="s">
        <v>1096</v>
      </c>
    </row>
    <row r="5">
      <c r="A5" s="36"/>
      <c r="B5" s="36"/>
      <c r="C5" s="36" t="s">
        <v>1097</v>
      </c>
      <c r="D5" s="36" t="s">
        <v>1098</v>
      </c>
      <c r="E5" s="36" t="s">
        <v>1018</v>
      </c>
      <c r="F5" s="36"/>
      <c r="G5" s="36" t="s">
        <v>1099</v>
      </c>
      <c r="H5" s="36"/>
    </row>
    <row r="6">
      <c r="A6" s="36"/>
      <c r="B6" s="36"/>
      <c r="C6" s="36" t="s">
        <v>1100</v>
      </c>
      <c r="D6" s="36" t="s">
        <v>1101</v>
      </c>
      <c r="E6" s="36" t="s">
        <v>1102</v>
      </c>
      <c r="F6" s="36"/>
      <c r="G6" s="36" t="s">
        <v>1103</v>
      </c>
      <c r="H6" s="36" t="s">
        <v>1104</v>
      </c>
    </row>
    <row r="7">
      <c r="A7" s="36"/>
      <c r="B7" s="36"/>
      <c r="C7" s="36"/>
      <c r="D7" s="36"/>
      <c r="E7" s="36"/>
      <c r="F7" s="36"/>
      <c r="G7" s="36"/>
      <c r="H7" s="36"/>
    </row>
    <row r="8">
      <c r="A8" s="36"/>
      <c r="B8" s="36"/>
      <c r="C8" s="36"/>
      <c r="D8" s="36"/>
      <c r="E8" s="36"/>
      <c r="F8" s="36"/>
      <c r="G8" s="36"/>
      <c r="H8" s="36"/>
    </row>
    <row r="9">
      <c r="A9" s="36"/>
      <c r="B9" s="36"/>
      <c r="C9" s="36"/>
      <c r="D9" s="36"/>
      <c r="E9" s="36"/>
      <c r="F9" s="36"/>
      <c r="G9" s="36"/>
      <c r="H9" s="36"/>
    </row>
    <row r="10">
      <c r="A10" s="36"/>
      <c r="B10" s="36"/>
      <c r="C10" s="36"/>
      <c r="D10" s="36"/>
      <c r="E10" s="36"/>
      <c r="F10" s="36"/>
      <c r="G10" s="36"/>
      <c r="H10" s="36"/>
    </row>
    <row r="11">
      <c r="A11" s="36"/>
      <c r="B11" s="36"/>
      <c r="C11" s="36"/>
      <c r="D11" s="36"/>
      <c r="E11" s="36"/>
      <c r="F11" s="36"/>
      <c r="G11" s="36"/>
      <c r="H11" s="36"/>
    </row>
    <row r="12">
      <c r="A12" s="36"/>
      <c r="B12" s="36"/>
      <c r="C12" s="36"/>
      <c r="D12" s="36"/>
      <c r="E12" s="36"/>
      <c r="F12" s="36"/>
      <c r="G12" s="36"/>
      <c r="H12" s="36"/>
    </row>
    <row r="13">
      <c r="A13" s="36"/>
      <c r="B13" s="36"/>
      <c r="C13" s="36"/>
      <c r="D13" s="36"/>
      <c r="E13" s="36"/>
      <c r="F13" s="36"/>
      <c r="G13" s="36"/>
      <c r="H13" s="36"/>
    </row>
    <row r="14">
      <c r="A14" s="36"/>
      <c r="B14" s="36"/>
      <c r="C14" s="36"/>
      <c r="D14" s="36"/>
      <c r="E14" s="36"/>
      <c r="F14" s="36"/>
      <c r="G14" s="36"/>
      <c r="H14" s="36"/>
    </row>
    <row r="15">
      <c r="A15" s="36"/>
      <c r="B15" s="36"/>
      <c r="C15" s="36"/>
      <c r="D15" s="36"/>
      <c r="E15" s="36"/>
      <c r="F15" s="36"/>
      <c r="G15" s="36"/>
      <c r="H15" s="36"/>
    </row>
    <row r="16">
      <c r="A16" s="36"/>
      <c r="B16" s="36"/>
      <c r="C16" s="36"/>
      <c r="D16" s="36"/>
      <c r="E16" s="36"/>
      <c r="F16" s="36"/>
      <c r="G16" s="36"/>
      <c r="H16" s="36"/>
    </row>
    <row r="17">
      <c r="A17" s="36"/>
      <c r="B17" s="36"/>
      <c r="C17" s="36"/>
      <c r="D17" s="36"/>
      <c r="E17" s="36"/>
      <c r="F17" s="36"/>
      <c r="G17" s="36"/>
      <c r="H17" s="36"/>
    </row>
    <row r="18">
      <c r="A18" s="36"/>
      <c r="B18" s="36"/>
      <c r="C18" s="36"/>
      <c r="D18" s="36"/>
      <c r="E18" s="36"/>
      <c r="F18" s="36"/>
      <c r="G18" s="36"/>
      <c r="H18" s="36"/>
    </row>
    <row r="19">
      <c r="A19" s="36"/>
      <c r="B19" s="36"/>
      <c r="C19" s="36"/>
      <c r="D19" s="36"/>
      <c r="E19" s="36"/>
      <c r="F19" s="36"/>
      <c r="G19" s="36"/>
      <c r="H19" s="36"/>
    </row>
    <row r="20">
      <c r="A20" s="36"/>
      <c r="B20" s="36"/>
      <c r="C20" s="36"/>
      <c r="D20" s="36"/>
      <c r="E20" s="36"/>
      <c r="F20" s="36"/>
      <c r="G20" s="36"/>
      <c r="H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2.0"/>
    <col customWidth="1" min="9" max="26" width="8.63"/>
  </cols>
  <sheetData>
    <row r="1">
      <c r="A1" s="76" t="s">
        <v>1105</v>
      </c>
    </row>
    <row r="3">
      <c r="A3" s="76" t="s">
        <v>1106</v>
      </c>
      <c r="B3" s="76" t="s">
        <v>1107</v>
      </c>
      <c r="C3" s="76" t="s">
        <v>1108</v>
      </c>
      <c r="D3" s="76" t="s">
        <v>1109</v>
      </c>
      <c r="E3" s="76" t="s">
        <v>1110</v>
      </c>
      <c r="F3" s="76" t="s">
        <v>1111</v>
      </c>
      <c r="G3" s="76" t="s">
        <v>1112</v>
      </c>
      <c r="H3" s="76" t="s">
        <v>127</v>
      </c>
    </row>
    <row r="4">
      <c r="A4" s="36" t="s">
        <v>1113</v>
      </c>
      <c r="B4" s="36" t="s">
        <v>1114</v>
      </c>
      <c r="C4" s="36" t="s">
        <v>1115</v>
      </c>
      <c r="D4" s="36" t="s">
        <v>1116</v>
      </c>
      <c r="E4" s="36" t="s">
        <v>1117</v>
      </c>
      <c r="F4" s="36" t="s">
        <v>1118</v>
      </c>
      <c r="G4" s="36" t="s">
        <v>1119</v>
      </c>
      <c r="H4" s="36" t="s">
        <v>236</v>
      </c>
    </row>
    <row r="5">
      <c r="A5" s="36" t="s">
        <v>1120</v>
      </c>
      <c r="B5" s="36" t="s">
        <v>1121</v>
      </c>
      <c r="C5" s="36" t="s">
        <v>1122</v>
      </c>
      <c r="D5" s="36" t="s">
        <v>1123</v>
      </c>
      <c r="E5" s="36" t="s">
        <v>1124</v>
      </c>
      <c r="F5" s="36" t="s">
        <v>1125</v>
      </c>
      <c r="G5" s="36" t="s">
        <v>1126</v>
      </c>
      <c r="H5" s="36" t="s">
        <v>236</v>
      </c>
    </row>
    <row r="6">
      <c r="A6" s="36" t="s">
        <v>1127</v>
      </c>
      <c r="B6" s="36" t="s">
        <v>1128</v>
      </c>
      <c r="C6" s="36" t="s">
        <v>1129</v>
      </c>
      <c r="D6" s="36" t="s">
        <v>1130</v>
      </c>
      <c r="E6" s="36" t="s">
        <v>1131</v>
      </c>
      <c r="F6" s="36" t="s">
        <v>1132</v>
      </c>
      <c r="G6" s="36" t="s">
        <v>1133</v>
      </c>
      <c r="H6" s="36" t="s">
        <v>236</v>
      </c>
    </row>
    <row r="7">
      <c r="A7" s="36" t="s">
        <v>1134</v>
      </c>
      <c r="B7" s="36" t="s">
        <v>1135</v>
      </c>
      <c r="C7" s="36" t="s">
        <v>1129</v>
      </c>
      <c r="D7" s="36" t="s">
        <v>1136</v>
      </c>
      <c r="E7" s="36" t="s">
        <v>1137</v>
      </c>
      <c r="F7" s="36" t="s">
        <v>1138</v>
      </c>
      <c r="G7" s="36" t="s">
        <v>1139</v>
      </c>
      <c r="H7" s="36" t="s">
        <v>236</v>
      </c>
    </row>
    <row r="8">
      <c r="A8" s="36" t="s">
        <v>1140</v>
      </c>
      <c r="B8" s="36" t="s">
        <v>1141</v>
      </c>
      <c r="C8" s="36" t="s">
        <v>1142</v>
      </c>
      <c r="D8" s="36" t="s">
        <v>1143</v>
      </c>
      <c r="E8" s="36" t="s">
        <v>1144</v>
      </c>
      <c r="F8" s="36" t="s">
        <v>1145</v>
      </c>
      <c r="G8" s="36" t="s">
        <v>1146</v>
      </c>
      <c r="H8" s="36" t="s">
        <v>1018</v>
      </c>
    </row>
    <row r="9">
      <c r="A9" s="36" t="s">
        <v>1147</v>
      </c>
      <c r="B9" s="36" t="s">
        <v>1148</v>
      </c>
      <c r="C9" s="36" t="s">
        <v>1149</v>
      </c>
      <c r="D9" s="36" t="s">
        <v>1150</v>
      </c>
      <c r="E9" s="36" t="s">
        <v>1151</v>
      </c>
      <c r="F9" s="36" t="s">
        <v>1152</v>
      </c>
      <c r="G9" s="36" t="s">
        <v>1153</v>
      </c>
      <c r="H9" s="36" t="s">
        <v>1018</v>
      </c>
    </row>
    <row r="10">
      <c r="A10" s="36" t="s">
        <v>1154</v>
      </c>
      <c r="B10" s="36" t="s">
        <v>1155</v>
      </c>
      <c r="C10" s="36" t="s">
        <v>1033</v>
      </c>
      <c r="D10" s="36" t="s">
        <v>1156</v>
      </c>
      <c r="E10" s="36" t="s">
        <v>1157</v>
      </c>
      <c r="F10" s="36" t="s">
        <v>1158</v>
      </c>
      <c r="G10" s="36" t="s">
        <v>1159</v>
      </c>
      <c r="H10" s="36" t="s">
        <v>1018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